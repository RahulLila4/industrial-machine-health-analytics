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dustrial_Machine_Health_Analytics\data\raw\"/>
    </mc:Choice>
  </mc:AlternateContent>
  <xr:revisionPtr revIDLastSave="0" documentId="13_ncr:1_{10F0E61B-84E4-4E94-BD21-1E1E0BFBF2EB}" xr6:coauthVersionLast="47" xr6:coauthVersionMax="47" xr10:uidLastSave="{00000000-0000-0000-0000-000000000000}"/>
  <bookViews>
    <workbookView xWindow="11424" yWindow="0" windowWidth="11712" windowHeight="12336" firstSheet="2" activeTab="3" xr2:uid="{A5C00C2A-CC85-4A84-A2EB-68EE70A4CF45}"/>
  </bookViews>
  <sheets>
    <sheet name="Raw_Data" sheetId="1" r:id="rId1"/>
    <sheet name="Initial_Analysis" sheetId="2" r:id="rId2"/>
    <sheet name="Failure_Analysis" sheetId="3" r:id="rId3"/>
    <sheet name="Operating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C43" i="4"/>
  <c r="B43" i="4"/>
  <c r="C42" i="4"/>
  <c r="B42" i="4"/>
  <c r="C41" i="4"/>
  <c r="B41" i="4"/>
  <c r="C40" i="4"/>
  <c r="B40" i="4"/>
  <c r="C39" i="4"/>
  <c r="B39" i="4"/>
  <c r="D38" i="4"/>
  <c r="C38" i="4"/>
  <c r="B38" i="4"/>
  <c r="C32" i="4"/>
  <c r="B32" i="4"/>
  <c r="C31" i="4"/>
  <c r="B31" i="4"/>
  <c r="D28" i="4"/>
  <c r="D29" i="4"/>
  <c r="D30" i="4"/>
  <c r="C30" i="4"/>
  <c r="B30" i="4"/>
  <c r="C29" i="4"/>
  <c r="B29" i="4"/>
  <c r="C28" i="4"/>
  <c r="B28" i="4"/>
  <c r="C27" i="4"/>
  <c r="B27" i="4"/>
  <c r="B21" i="4"/>
  <c r="C21" i="4"/>
  <c r="C20" i="4"/>
  <c r="D20" i="4" s="1"/>
  <c r="B20" i="4"/>
  <c r="C19" i="4"/>
  <c r="B19" i="4"/>
  <c r="C18" i="4"/>
  <c r="B18" i="4"/>
  <c r="C17" i="4"/>
  <c r="B17" i="4"/>
  <c r="C16" i="4"/>
  <c r="D16" i="4" s="1"/>
  <c r="B16" i="4"/>
  <c r="C10" i="4"/>
  <c r="B10" i="4"/>
  <c r="C9" i="4"/>
  <c r="D9" i="4" s="1"/>
  <c r="B9" i="4"/>
  <c r="C8" i="4"/>
  <c r="B8" i="4"/>
  <c r="C7" i="4"/>
  <c r="D7" i="4" s="1"/>
  <c r="B7" i="4"/>
  <c r="C6" i="4"/>
  <c r="B6" i="4"/>
  <c r="B16" i="3"/>
  <c r="B15" i="3"/>
  <c r="B14" i="3"/>
  <c r="C9" i="3"/>
  <c r="C8" i="3"/>
  <c r="C7" i="3"/>
  <c r="C6" i="3"/>
  <c r="C5" i="3"/>
  <c r="B9" i="3"/>
  <c r="B8" i="3"/>
  <c r="B7" i="3"/>
  <c r="B6" i="3"/>
  <c r="B5" i="3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2" i="2"/>
  <c r="D13" i="2"/>
  <c r="D11" i="2"/>
  <c r="C13" i="2"/>
  <c r="C12" i="2"/>
  <c r="C11" i="2"/>
  <c r="B13" i="2"/>
  <c r="B12" i="2"/>
  <c r="B11" i="2"/>
  <c r="B6" i="2"/>
  <c r="B5" i="2"/>
  <c r="B4" i="2"/>
  <c r="D32" i="4" l="1"/>
  <c r="D31" i="4"/>
  <c r="D10" i="4"/>
  <c r="D8" i="4"/>
  <c r="D19" i="4"/>
  <c r="D17" i="4"/>
  <c r="D18" i="4"/>
  <c r="D27" i="4"/>
  <c r="D6" i="4"/>
  <c r="D21" i="4"/>
</calcChain>
</file>

<file path=xl/sharedStrings.xml><?xml version="1.0" encoding="utf-8"?>
<sst xmlns="http://schemas.openxmlformats.org/spreadsheetml/2006/main" count="20097" uniqueCount="10079">
  <si>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</si>
  <si>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</si>
  <si>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</si>
  <si>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</si>
  <si>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</si>
  <si>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</si>
  <si>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</si>
  <si>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</si>
  <si>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</si>
  <si>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</si>
  <si>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</si>
  <si>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</si>
  <si>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</si>
  <si>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</si>
  <si>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</si>
  <si>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</si>
  <si>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</si>
  <si>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</si>
  <si>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</si>
  <si>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</si>
  <si>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</si>
  <si>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</si>
  <si>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</si>
  <si>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</si>
  <si>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</si>
  <si>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</si>
  <si>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</si>
  <si>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</si>
  <si>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</si>
  <si>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</si>
  <si>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</si>
  <si>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</si>
  <si>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</si>
  <si>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</si>
  <si>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</si>
  <si>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</si>
  <si>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</si>
  <si>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</si>
  <si>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</si>
  <si>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</si>
  <si>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</si>
  <si>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</si>
  <si>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</si>
  <si>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</si>
  <si>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</si>
  <si>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</si>
  <si>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</si>
  <si>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</si>
  <si>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</si>
  <si>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</si>
  <si>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</si>
  <si>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</si>
  <si>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</si>
  <si>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</si>
  <si>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</si>
  <si>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</si>
  <si>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</si>
  <si>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</si>
  <si>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</si>
  <si>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</si>
  <si>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</si>
  <si>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</si>
  <si>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</si>
  <si>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</si>
  <si>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</si>
  <si>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</si>
  <si>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</si>
  <si>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</si>
  <si>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</si>
  <si>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</si>
  <si>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</si>
  <si>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</si>
  <si>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</si>
  <si>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</si>
  <si>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</si>
  <si>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</si>
  <si>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</si>
  <si>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</si>
  <si>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</si>
  <si>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</si>
  <si>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</si>
  <si>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</si>
  <si>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</si>
  <si>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</si>
  <si>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</si>
  <si>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</si>
  <si>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</si>
  <si>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</si>
  <si>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</si>
  <si>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</si>
  <si>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</si>
  <si>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</si>
  <si>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</si>
  <si>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</si>
  <si>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</si>
  <si>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</si>
  <si>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</si>
  <si>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</si>
  <si>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</si>
  <si>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</si>
  <si>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</si>
  <si>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</si>
  <si>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</si>
  <si>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</si>
  <si>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</si>
  <si>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</si>
  <si>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</si>
  <si>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</si>
  <si>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</si>
  <si>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</si>
  <si>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</si>
  <si>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</si>
  <si>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</si>
  <si>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</si>
  <si>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</si>
  <si>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</si>
  <si>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</si>
  <si>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</si>
  <si>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</si>
  <si>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</si>
  <si>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</si>
  <si>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</si>
  <si>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</si>
  <si>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</si>
  <si>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</si>
  <si>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</si>
  <si>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</si>
  <si>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</si>
  <si>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</si>
  <si>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</si>
  <si>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</si>
  <si>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</si>
  <si>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</si>
  <si>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</si>
  <si>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</si>
  <si>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</si>
  <si>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</si>
  <si>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</si>
  <si>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</si>
  <si>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</si>
  <si>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</si>
  <si>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</si>
  <si>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</si>
  <si>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</si>
  <si>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</si>
  <si>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</si>
  <si>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</si>
  <si>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</si>
  <si>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</si>
  <si>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</si>
  <si>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</si>
  <si>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</si>
  <si>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</si>
  <si>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</si>
  <si>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</si>
  <si>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</si>
  <si>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</si>
  <si>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</si>
  <si>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</si>
  <si>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</si>
  <si>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</si>
  <si>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</si>
  <si>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</si>
  <si>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</si>
  <si>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</si>
  <si>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</si>
  <si>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</si>
  <si>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</si>
  <si>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</si>
  <si>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</si>
  <si>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</si>
  <si>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</si>
  <si>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</si>
  <si>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</si>
  <si>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</si>
  <si>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</si>
  <si>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</si>
  <si>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</si>
  <si>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</si>
  <si>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</si>
  <si>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</si>
  <si>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</si>
  <si>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</si>
  <si>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</si>
  <si>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</si>
  <si>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</si>
  <si>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</si>
  <si>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</si>
  <si>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</si>
  <si>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</si>
  <si>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</si>
  <si>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</si>
  <si>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</si>
  <si>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</si>
  <si>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</si>
  <si>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</si>
  <si>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</si>
  <si>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</si>
  <si>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</si>
  <si>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</si>
  <si>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</si>
  <si>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</si>
  <si>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</si>
  <si>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</si>
  <si>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</si>
  <si>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</si>
  <si>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</si>
  <si>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</si>
  <si>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</si>
  <si>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</si>
  <si>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</si>
  <si>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</si>
  <si>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</si>
  <si>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</si>
  <si>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</si>
  <si>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</si>
  <si>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</si>
  <si>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</si>
  <si>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</si>
  <si>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</si>
  <si>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</si>
  <si>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</si>
  <si>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</si>
  <si>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</si>
  <si>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</si>
  <si>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</si>
  <si>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</si>
  <si>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</si>
  <si>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</si>
  <si>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</si>
  <si>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</si>
  <si>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</si>
  <si>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</si>
  <si>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</si>
  <si>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</si>
  <si>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</si>
  <si>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</si>
  <si>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</si>
  <si>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</si>
  <si>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</si>
  <si>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</si>
  <si>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</si>
  <si>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</si>
  <si>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</si>
  <si>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</si>
  <si>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</si>
  <si>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</si>
  <si>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</si>
  <si>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</si>
  <si>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</si>
  <si>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</si>
  <si>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</si>
  <si>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</si>
  <si>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</si>
  <si>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</si>
  <si>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</si>
  <si>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</si>
  <si>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</si>
  <si>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</si>
  <si>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</si>
  <si>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</si>
  <si>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</si>
  <si>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</si>
  <si>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</si>
  <si>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</si>
  <si>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</si>
  <si>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</si>
  <si>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</si>
  <si>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</si>
  <si>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</si>
  <si>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</si>
  <si>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</si>
  <si>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</si>
  <si>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</si>
  <si>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</si>
  <si>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</si>
  <si>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</si>
  <si>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</si>
  <si>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</si>
  <si>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</si>
  <si>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</si>
  <si>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</si>
  <si>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</si>
  <si>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</si>
  <si>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</si>
  <si>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</si>
  <si>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</si>
  <si>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</si>
  <si>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</si>
  <si>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</si>
  <si>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</si>
  <si>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</si>
  <si>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</si>
  <si>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</si>
  <si>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</si>
  <si>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</si>
  <si>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</si>
  <si>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</si>
  <si>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</si>
  <si>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</si>
  <si>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</si>
  <si>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</si>
  <si>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</si>
  <si>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</si>
  <si>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</si>
  <si>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</si>
  <si>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</si>
  <si>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</si>
  <si>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</si>
  <si>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</si>
  <si>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</si>
  <si>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</si>
  <si>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</si>
  <si>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</si>
  <si>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</si>
  <si>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</si>
  <si>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</si>
  <si>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</si>
  <si>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</si>
  <si>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</si>
  <si>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</si>
  <si>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</si>
  <si>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</si>
  <si>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</si>
  <si>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</si>
  <si>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</si>
  <si>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</si>
  <si>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</si>
  <si>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</si>
  <si>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</si>
  <si>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</si>
  <si>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</si>
  <si>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</si>
  <si>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</si>
  <si>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</si>
  <si>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</si>
  <si>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</si>
  <si>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</si>
  <si>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</si>
  <si>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</si>
  <si>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</si>
  <si>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</si>
  <si>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</si>
  <si>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</si>
  <si>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</si>
  <si>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</si>
  <si>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</si>
  <si>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</si>
  <si>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</si>
  <si>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</si>
  <si>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</si>
  <si>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</si>
  <si>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</si>
  <si>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</si>
  <si>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</si>
  <si>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</si>
  <si>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</si>
  <si>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</si>
  <si>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</si>
  <si>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</si>
  <si>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</si>
  <si>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</si>
  <si>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</si>
  <si>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</si>
  <si>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</si>
  <si>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</si>
  <si>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</si>
  <si>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</si>
  <si>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</si>
  <si>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</si>
  <si>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</si>
  <si>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</si>
  <si>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</si>
  <si>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</si>
  <si>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</si>
  <si>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</si>
  <si>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</si>
  <si>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</si>
  <si>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</si>
  <si>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</si>
  <si>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</si>
  <si>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</si>
  <si>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</si>
  <si>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</si>
  <si>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</si>
  <si>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</si>
  <si>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</si>
  <si>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</si>
  <si>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</si>
  <si>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</si>
  <si>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</si>
  <si>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</si>
  <si>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</si>
  <si>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</si>
  <si>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</si>
  <si>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</si>
  <si>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</si>
  <si>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</si>
  <si>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</si>
  <si>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</si>
  <si>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</si>
  <si>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</si>
  <si>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</si>
  <si>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</si>
  <si>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</si>
  <si>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</si>
  <si>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</si>
  <si>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</si>
  <si>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</si>
  <si>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</si>
  <si>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</si>
  <si>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</si>
  <si>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</si>
  <si>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</si>
  <si>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</si>
  <si>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</si>
  <si>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</si>
  <si>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</si>
  <si>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</si>
  <si>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</si>
  <si>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</si>
  <si>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</si>
  <si>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</si>
  <si>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</si>
  <si>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</si>
  <si>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</si>
  <si>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</si>
  <si>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</si>
  <si>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</si>
  <si>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</si>
  <si>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</si>
  <si>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</si>
  <si>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</si>
  <si>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</si>
  <si>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</si>
  <si>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</si>
  <si>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</si>
  <si>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</si>
  <si>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</si>
  <si>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</si>
  <si>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</si>
  <si>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</si>
  <si>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</si>
  <si>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</si>
  <si>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</si>
  <si>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</si>
  <si>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</si>
  <si>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</si>
  <si>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</si>
  <si>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</si>
  <si>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</si>
  <si>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</si>
  <si>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</si>
  <si>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</si>
  <si>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</si>
  <si>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</si>
  <si>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</si>
  <si>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</si>
  <si>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</si>
  <si>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</si>
  <si>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</si>
  <si>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</si>
  <si>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</si>
  <si>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</si>
  <si>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</si>
  <si>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</si>
  <si>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</si>
  <si>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</si>
  <si>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</si>
  <si>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</si>
  <si>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</si>
  <si>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</si>
  <si>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</si>
  <si>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</si>
  <si>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</si>
  <si>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</si>
  <si>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</si>
  <si>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</si>
  <si>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</si>
  <si>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</si>
  <si>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</si>
  <si>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</si>
  <si>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</si>
  <si>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</si>
  <si>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</si>
  <si>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</si>
  <si>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</si>
  <si>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</si>
  <si>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</si>
  <si>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</si>
  <si>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</si>
  <si>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</si>
  <si>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</si>
  <si>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</si>
  <si>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</si>
  <si>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</si>
  <si>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</si>
  <si>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</si>
  <si>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</si>
  <si>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</si>
  <si>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</si>
  <si>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</si>
  <si>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</si>
  <si>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</si>
  <si>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</si>
  <si>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</si>
  <si>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</si>
  <si>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</si>
  <si>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</si>
  <si>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</si>
  <si>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</si>
  <si>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</si>
  <si>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</si>
  <si>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</si>
  <si>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</si>
  <si>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</si>
  <si>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</si>
  <si>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</si>
  <si>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</si>
  <si>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</si>
  <si>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</si>
  <si>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</si>
  <si>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</si>
  <si>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</si>
  <si>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</si>
  <si>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</si>
  <si>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</si>
  <si>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</si>
  <si>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</si>
  <si>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</si>
  <si>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</si>
  <si>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</si>
  <si>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</si>
  <si>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</si>
  <si>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</si>
  <si>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</si>
  <si>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</si>
  <si>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</si>
  <si>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</si>
  <si>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</si>
  <si>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</si>
  <si>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</si>
  <si>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</si>
  <si>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</si>
  <si>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</si>
  <si>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</si>
  <si>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</si>
  <si>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</si>
  <si>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</si>
  <si>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</si>
  <si>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</si>
  <si>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</si>
  <si>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</si>
  <si>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</si>
  <si>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</si>
  <si>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</si>
  <si>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</si>
  <si>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</si>
  <si>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</si>
  <si>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</si>
  <si>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</si>
  <si>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</si>
  <si>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</si>
  <si>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</si>
  <si>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</si>
  <si>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</si>
  <si>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</si>
  <si>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</si>
  <si>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</si>
  <si>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</si>
  <si>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</si>
  <si>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</si>
  <si>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</si>
  <si>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</si>
  <si>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</si>
  <si>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</si>
  <si>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</si>
  <si>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</si>
  <si>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</si>
  <si>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</si>
  <si>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</si>
  <si>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</si>
  <si>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</si>
  <si>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</si>
  <si>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</si>
  <si>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</si>
  <si>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</si>
  <si>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</si>
  <si>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</si>
  <si>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</si>
  <si>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</si>
  <si>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</si>
  <si>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</si>
  <si>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</si>
  <si>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</si>
  <si>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</si>
  <si>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</si>
  <si>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</si>
  <si>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</si>
  <si>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</si>
  <si>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</si>
  <si>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</si>
  <si>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</si>
  <si>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</si>
  <si>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</si>
  <si>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</si>
  <si>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</si>
  <si>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</si>
  <si>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</si>
  <si>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</si>
  <si>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</si>
  <si>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</si>
  <si>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</si>
  <si>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</si>
  <si>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</si>
  <si>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</si>
  <si>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</si>
  <si>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</si>
  <si>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</si>
  <si>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</si>
  <si>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</si>
  <si>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</si>
  <si>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</si>
  <si>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</si>
  <si>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</si>
  <si>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</si>
  <si>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</si>
  <si>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</si>
  <si>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</si>
  <si>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</si>
  <si>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</si>
  <si>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</si>
  <si>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</si>
  <si>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</si>
  <si>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</si>
  <si>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</si>
  <si>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</si>
  <si>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</si>
  <si>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</si>
  <si>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</si>
  <si>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</si>
  <si>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</si>
  <si>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</si>
  <si>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</si>
  <si>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</si>
  <si>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</si>
  <si>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</si>
  <si>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</si>
  <si>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</si>
  <si>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</si>
  <si>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</si>
  <si>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</si>
  <si>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</si>
  <si>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</si>
  <si>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</si>
  <si>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</si>
  <si>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</si>
  <si>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</si>
  <si>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</si>
  <si>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</si>
  <si>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</si>
  <si>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</si>
  <si>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</si>
  <si>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</si>
  <si>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</si>
  <si>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</si>
  <si>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</si>
  <si>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</si>
  <si>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</si>
  <si>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</si>
  <si>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</si>
  <si>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</si>
  <si>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</si>
  <si>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</si>
  <si>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</si>
  <si>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</si>
  <si>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</si>
  <si>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</si>
  <si>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</si>
  <si>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</si>
  <si>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</si>
  <si>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</si>
  <si>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</si>
  <si>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</si>
  <si>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</si>
  <si>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</si>
  <si>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</si>
  <si>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</si>
  <si>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</si>
  <si>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</si>
  <si>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</si>
  <si>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</si>
  <si>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</si>
  <si>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</si>
  <si>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</si>
  <si>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</si>
  <si>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</si>
  <si>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</si>
  <si>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</si>
  <si>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</si>
  <si>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</si>
  <si>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</si>
  <si>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</si>
  <si>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</si>
  <si>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</si>
  <si>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</si>
  <si>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</si>
  <si>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</si>
  <si>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</si>
  <si>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</si>
  <si>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</si>
  <si>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</si>
  <si>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</si>
  <si>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</si>
  <si>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</si>
  <si>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</si>
  <si>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</si>
  <si>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</si>
  <si>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</si>
  <si>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</si>
  <si>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</si>
  <si>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</si>
  <si>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</si>
  <si>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</si>
  <si>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</si>
  <si>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</si>
  <si>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</si>
  <si>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</si>
  <si>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</si>
  <si>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</si>
  <si>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</si>
  <si>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</si>
  <si>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</si>
  <si>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</si>
  <si>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</si>
  <si>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</si>
  <si>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</si>
  <si>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</si>
  <si>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</si>
  <si>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</si>
  <si>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</si>
  <si>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</si>
  <si>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</si>
  <si>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</si>
  <si>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</si>
  <si>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</si>
  <si>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</si>
  <si>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</si>
  <si>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</si>
  <si>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</si>
  <si>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</si>
  <si>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</si>
  <si>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</si>
  <si>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</si>
  <si>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</si>
  <si>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</si>
  <si>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</si>
  <si>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</si>
  <si>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</si>
  <si>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</si>
  <si>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</si>
  <si>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</si>
  <si>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</si>
  <si>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</si>
  <si>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</si>
  <si>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</si>
  <si>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</si>
  <si>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</si>
  <si>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</si>
  <si>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</si>
  <si>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</si>
  <si>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</si>
  <si>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</si>
  <si>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</si>
  <si>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</si>
  <si>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</si>
  <si>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</si>
  <si>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</si>
  <si>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</si>
  <si>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</si>
  <si>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</si>
  <si>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</si>
  <si>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</si>
  <si>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</si>
  <si>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</si>
  <si>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</si>
  <si>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</si>
  <si>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</si>
  <si>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</si>
  <si>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</si>
  <si>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</si>
  <si>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</si>
  <si>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</si>
  <si>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</si>
  <si>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</si>
  <si>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</si>
  <si>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</si>
  <si>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</si>
  <si>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</si>
  <si>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</si>
  <si>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</si>
  <si>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</si>
  <si>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</si>
  <si>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</si>
  <si>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</si>
  <si>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</si>
  <si>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</si>
  <si>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</si>
  <si>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</si>
  <si>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</si>
  <si>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</si>
  <si>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</si>
  <si>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</si>
  <si>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</si>
  <si>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</si>
  <si>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</si>
  <si>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</si>
  <si>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</si>
  <si>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</si>
  <si>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</si>
  <si>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</si>
  <si>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</si>
  <si>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</si>
  <si>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</si>
  <si>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</si>
  <si>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</si>
  <si>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</si>
  <si>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</si>
  <si>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</si>
  <si>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</si>
  <si>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</si>
  <si>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</si>
  <si>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</si>
  <si>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</si>
  <si>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</si>
  <si>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</si>
  <si>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</si>
  <si>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</si>
  <si>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</si>
  <si>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</si>
  <si>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</si>
  <si>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</si>
  <si>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</si>
  <si>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</si>
  <si>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</si>
  <si>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</si>
  <si>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</si>
  <si>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</si>
  <si>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</si>
  <si>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</si>
  <si>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</si>
  <si>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</si>
  <si>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</si>
  <si>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</si>
  <si>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</si>
  <si>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</si>
  <si>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</si>
  <si>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</si>
  <si>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</si>
  <si>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</si>
  <si>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</si>
  <si>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</si>
  <si>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</si>
  <si>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</si>
  <si>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</si>
  <si>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</si>
  <si>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</si>
  <si>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</si>
  <si>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</si>
  <si>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</si>
  <si>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</si>
  <si>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</si>
  <si>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</si>
  <si>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</si>
  <si>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</si>
  <si>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</si>
  <si>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</si>
  <si>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</si>
  <si>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</si>
  <si>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</si>
  <si>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</si>
  <si>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</si>
  <si>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</si>
  <si>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</si>
  <si>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</si>
  <si>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</si>
  <si>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</si>
  <si>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</si>
  <si>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</si>
  <si>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</si>
  <si>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</si>
  <si>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</si>
  <si>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</si>
  <si>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</si>
  <si>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</si>
  <si>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</si>
  <si>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</si>
  <si>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</si>
  <si>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</si>
  <si>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</si>
  <si>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</si>
  <si>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</si>
  <si>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</si>
  <si>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</si>
  <si>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</si>
  <si>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</si>
  <si>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</si>
  <si>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</si>
  <si>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</si>
  <si>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</si>
  <si>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</si>
  <si>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</si>
  <si>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</si>
  <si>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</si>
  <si>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</si>
  <si>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</si>
  <si>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</si>
  <si>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</si>
  <si>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</si>
  <si>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</si>
  <si>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</si>
  <si>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</si>
  <si>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</si>
  <si>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</si>
  <si>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</si>
  <si>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</si>
  <si>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</si>
  <si>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</si>
  <si>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</si>
  <si>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</si>
  <si>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</si>
  <si>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</si>
  <si>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</si>
  <si>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</si>
  <si>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</si>
  <si>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</si>
  <si>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</si>
  <si>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</si>
  <si>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</si>
  <si>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</si>
  <si>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</si>
  <si>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</si>
  <si>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</si>
  <si>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</si>
  <si>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</si>
  <si>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</si>
  <si>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</si>
  <si>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</si>
  <si>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</si>
  <si>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</si>
  <si>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</si>
  <si>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</si>
  <si>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</si>
  <si>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</si>
  <si>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</si>
  <si>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</si>
  <si>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</si>
  <si>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</si>
  <si>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</si>
  <si>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</si>
  <si>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</si>
  <si>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</si>
  <si>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</si>
  <si>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</si>
  <si>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</si>
  <si>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</si>
  <si>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</si>
  <si>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</si>
  <si>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</si>
  <si>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</si>
  <si>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</si>
  <si>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</si>
  <si>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</si>
  <si>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</si>
  <si>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</si>
  <si>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</si>
  <si>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</si>
  <si>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</si>
  <si>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</si>
  <si>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</si>
  <si>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</si>
  <si>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</si>
  <si>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</si>
  <si>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</si>
  <si>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</si>
  <si>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</si>
  <si>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</si>
  <si>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</si>
  <si>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</si>
  <si>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</si>
  <si>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</si>
  <si>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</si>
  <si>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</si>
  <si>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</si>
  <si>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</si>
  <si>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</si>
  <si>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</si>
  <si>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</si>
  <si>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</si>
  <si>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</si>
  <si>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</si>
  <si>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</si>
  <si>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</si>
  <si>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</si>
  <si>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</si>
  <si>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</si>
  <si>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</si>
  <si>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</si>
  <si>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</si>
  <si>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</si>
  <si>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</si>
  <si>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</si>
  <si>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</si>
  <si>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</si>
  <si>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</si>
  <si>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</si>
  <si>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</si>
  <si>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</si>
  <si>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</si>
  <si>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</si>
  <si>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</si>
  <si>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</si>
  <si>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</si>
  <si>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</si>
  <si>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</si>
  <si>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</si>
  <si>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</si>
  <si>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</si>
  <si>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</si>
  <si>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</si>
  <si>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</si>
  <si>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</si>
  <si>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</si>
  <si>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</si>
  <si>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</si>
  <si>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</si>
  <si>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</si>
  <si>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</si>
  <si>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</si>
  <si>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</si>
  <si>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</si>
  <si>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</si>
  <si>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</si>
  <si>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</si>
  <si>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</si>
  <si>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</si>
  <si>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</si>
  <si>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</si>
  <si>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</si>
  <si>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</si>
  <si>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</si>
  <si>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</si>
  <si>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</si>
  <si>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</si>
  <si>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</si>
  <si>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</si>
  <si>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</si>
  <si>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</si>
  <si>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</si>
  <si>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</si>
  <si>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</si>
  <si>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</si>
  <si>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</si>
  <si>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</si>
  <si>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</si>
  <si>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</si>
  <si>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</si>
  <si>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</si>
  <si>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</si>
  <si>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</si>
  <si>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</si>
  <si>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</si>
  <si>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</si>
  <si>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</si>
  <si>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</si>
  <si>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</si>
  <si>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</si>
  <si>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</si>
  <si>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</si>
  <si>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</si>
  <si>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</si>
  <si>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</si>
  <si>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</si>
  <si>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</si>
  <si>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</si>
  <si>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</si>
  <si>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</si>
  <si>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</si>
  <si>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</si>
  <si>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</si>
  <si>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</si>
  <si>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</si>
  <si>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</si>
  <si>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</si>
  <si>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</si>
  <si>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</si>
  <si>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</si>
  <si>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</si>
  <si>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</si>
  <si>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</si>
  <si>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</si>
  <si>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</si>
  <si>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</si>
  <si>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</si>
  <si>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</si>
  <si>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</si>
  <si>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</si>
  <si>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</si>
  <si>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</si>
  <si>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</si>
  <si>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</si>
  <si>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</si>
  <si>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</si>
  <si>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</si>
  <si>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</si>
  <si>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</si>
  <si>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</si>
  <si>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</si>
  <si>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</si>
  <si>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</si>
  <si>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</si>
  <si>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</si>
  <si>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</si>
  <si>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</si>
  <si>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</si>
  <si>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</si>
  <si>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</si>
  <si>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</si>
  <si>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</si>
  <si>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</si>
  <si>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</si>
  <si>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</si>
  <si>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</si>
  <si>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</si>
  <si>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</si>
  <si>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</si>
  <si>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</si>
  <si>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</si>
  <si>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</si>
  <si>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</si>
  <si>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</si>
  <si>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</si>
  <si>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</si>
  <si>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</si>
  <si>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</si>
  <si>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</si>
  <si>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</si>
  <si>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</si>
  <si>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</si>
  <si>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</si>
  <si>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</si>
  <si>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</si>
  <si>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</si>
  <si>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</si>
  <si>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</si>
  <si>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</si>
  <si>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</si>
  <si>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</si>
  <si>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</si>
  <si>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</si>
  <si>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</si>
  <si>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</si>
  <si>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</si>
  <si>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</si>
  <si>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</si>
  <si>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</si>
  <si>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</si>
  <si>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</si>
  <si>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</si>
  <si>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</si>
  <si>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</si>
  <si>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</si>
  <si>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</si>
  <si>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</si>
  <si>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</si>
  <si>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</si>
  <si>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</si>
  <si>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</si>
  <si>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</si>
  <si>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</si>
  <si>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</si>
  <si>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</si>
  <si>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</si>
  <si>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</si>
  <si>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</si>
  <si>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</si>
  <si>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</si>
  <si>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</si>
  <si>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</si>
  <si>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</si>
  <si>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</si>
  <si>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</si>
  <si>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</si>
  <si>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</si>
  <si>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</si>
  <si>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</si>
  <si>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</si>
  <si>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</si>
  <si>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</si>
  <si>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</si>
  <si>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</si>
  <si>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</si>
  <si>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</si>
  <si>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</si>
  <si>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</si>
  <si>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</si>
  <si>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</si>
  <si>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</si>
  <si>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</si>
  <si>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</si>
  <si>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</si>
  <si>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</si>
  <si>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</si>
  <si>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</si>
  <si>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</si>
  <si>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</si>
  <si>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</si>
  <si>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</si>
  <si>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</si>
  <si>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</si>
  <si>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</si>
  <si>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</si>
  <si>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</si>
  <si>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</si>
  <si>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</si>
  <si>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</si>
  <si>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</si>
  <si>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</si>
  <si>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</si>
  <si>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</si>
  <si>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</si>
  <si>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</si>
  <si>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</si>
  <si>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</si>
  <si>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</si>
  <si>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</si>
  <si>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</si>
  <si>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</si>
  <si>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</si>
  <si>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</si>
  <si>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</si>
  <si>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</si>
  <si>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</si>
  <si>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</si>
  <si>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</si>
  <si>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</si>
  <si>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</si>
  <si>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</si>
  <si>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</si>
  <si>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</si>
  <si>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</si>
  <si>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</si>
  <si>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</si>
  <si>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</si>
  <si>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</si>
  <si>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</si>
  <si>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</si>
  <si>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</si>
  <si>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</si>
  <si>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</si>
  <si>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</si>
  <si>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</si>
  <si>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</si>
  <si>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</si>
  <si>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</si>
  <si>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</si>
  <si>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</si>
  <si>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</si>
  <si>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</si>
  <si>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</si>
  <si>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</si>
  <si>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</si>
  <si>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</si>
  <si>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</si>
  <si>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</si>
  <si>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</si>
  <si>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</si>
  <si>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</si>
  <si>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</si>
  <si>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</si>
  <si>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</si>
  <si>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</si>
  <si>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</si>
  <si>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</si>
  <si>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</si>
  <si>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</si>
  <si>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</si>
  <si>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</si>
  <si>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</si>
  <si>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</si>
  <si>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</si>
  <si>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</si>
  <si>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</si>
  <si>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</si>
  <si>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</si>
  <si>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</si>
  <si>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</si>
  <si>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</si>
  <si>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</si>
  <si>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</si>
  <si>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</si>
  <si>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</si>
  <si>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</si>
  <si>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</si>
  <si>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</si>
  <si>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</si>
  <si>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</si>
  <si>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</si>
  <si>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</si>
  <si>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</si>
  <si>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</si>
  <si>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</si>
  <si>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</si>
  <si>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</si>
  <si>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</si>
  <si>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</si>
  <si>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</si>
  <si>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</si>
  <si>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</si>
  <si>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</si>
  <si>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</si>
  <si>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</si>
  <si>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</si>
  <si>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</si>
  <si>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</si>
  <si>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</si>
  <si>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</si>
  <si>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</si>
  <si>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</si>
  <si>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</si>
  <si>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</si>
  <si>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</si>
  <si>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</si>
  <si>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</si>
  <si>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</si>
  <si>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</si>
  <si>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</si>
  <si>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</si>
  <si>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</si>
  <si>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</si>
  <si>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</si>
  <si>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</si>
  <si>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</si>
  <si>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</si>
  <si>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</si>
  <si>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</si>
  <si>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</si>
  <si>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</si>
  <si>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</si>
  <si>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</si>
  <si>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</si>
  <si>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</si>
  <si>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</si>
  <si>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</si>
  <si>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</si>
  <si>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</si>
  <si>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</si>
  <si>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</si>
  <si>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</si>
  <si>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</si>
  <si>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</si>
  <si>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</si>
  <si>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</si>
  <si>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</si>
  <si>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</si>
  <si>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</si>
  <si>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</si>
  <si>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</si>
  <si>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</si>
  <si>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</si>
  <si>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</si>
  <si>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</si>
  <si>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</si>
  <si>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</si>
  <si>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</si>
  <si>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</si>
  <si>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</si>
  <si>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</si>
  <si>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</si>
  <si>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</si>
  <si>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</si>
  <si>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</si>
  <si>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</si>
  <si>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</si>
  <si>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</si>
  <si>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</si>
  <si>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</si>
  <si>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</si>
  <si>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</si>
  <si>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</si>
  <si>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</si>
  <si>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</si>
  <si>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</si>
  <si>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</si>
  <si>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</si>
  <si>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</si>
  <si>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</si>
  <si>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</si>
  <si>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</si>
  <si>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</si>
  <si>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</si>
  <si>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</si>
  <si>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</si>
  <si>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</si>
  <si>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</si>
  <si>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</si>
  <si>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</si>
  <si>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</si>
  <si>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</si>
  <si>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</si>
  <si>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</si>
  <si>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</si>
  <si>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</si>
  <si>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</si>
  <si>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</si>
  <si>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</si>
  <si>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</si>
  <si>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</si>
  <si>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</si>
  <si>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</si>
  <si>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</si>
  <si>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</si>
  <si>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</si>
  <si>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</si>
  <si>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</si>
  <si>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</si>
  <si>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</si>
  <si>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</si>
  <si>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</si>
  <si>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</si>
  <si>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</si>
  <si>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</si>
  <si>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</si>
  <si>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</si>
  <si>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</si>
  <si>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</si>
  <si>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</si>
  <si>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</si>
  <si>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</si>
  <si>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</si>
  <si>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</si>
  <si>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</si>
  <si>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</si>
  <si>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</si>
  <si>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</si>
  <si>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</si>
  <si>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</si>
  <si>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</si>
  <si>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</si>
  <si>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</si>
  <si>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</si>
  <si>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</si>
  <si>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</si>
  <si>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</si>
  <si>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</si>
  <si>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</si>
  <si>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</si>
  <si>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</si>
  <si>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</si>
  <si>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</si>
  <si>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</si>
  <si>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</si>
  <si>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</si>
  <si>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</si>
  <si>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</si>
  <si>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</si>
  <si>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</si>
  <si>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</si>
  <si>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</si>
  <si>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</si>
  <si>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</si>
  <si>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</si>
  <si>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</si>
  <si>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</si>
  <si>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</si>
  <si>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</si>
  <si>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</si>
  <si>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</si>
  <si>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</si>
  <si>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</si>
  <si>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</si>
  <si>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</si>
  <si>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</si>
  <si>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</si>
  <si>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</si>
  <si>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</si>
  <si>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</si>
  <si>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</si>
  <si>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</si>
  <si>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</si>
  <si>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</si>
  <si>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</si>
  <si>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</si>
  <si>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</si>
  <si>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</si>
  <si>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</si>
  <si>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</si>
  <si>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</si>
  <si>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</si>
  <si>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</si>
  <si>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</si>
  <si>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</si>
  <si>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</si>
  <si>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</si>
  <si>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</si>
  <si>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</si>
  <si>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</si>
  <si>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</si>
  <si>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</si>
  <si>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</si>
  <si>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</si>
  <si>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</si>
  <si>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</si>
  <si>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</si>
  <si>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</si>
  <si>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</si>
  <si>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</si>
  <si>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</si>
  <si>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</si>
  <si>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</si>
  <si>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</si>
  <si>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</si>
  <si>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</si>
  <si>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</si>
  <si>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</si>
  <si>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</si>
  <si>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</si>
  <si>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</si>
  <si>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</si>
  <si>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</si>
  <si>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</si>
  <si>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</si>
  <si>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</si>
  <si>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</si>
  <si>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</si>
  <si>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</si>
  <si>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</si>
  <si>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</si>
  <si>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</si>
  <si>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</si>
  <si>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</si>
  <si>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</si>
  <si>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</si>
  <si>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</si>
  <si>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</si>
  <si>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</si>
  <si>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</si>
  <si>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</si>
  <si>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</si>
  <si>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</si>
  <si>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</si>
  <si>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</si>
  <si>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</si>
  <si>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</si>
  <si>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</si>
  <si>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</si>
  <si>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</si>
  <si>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</si>
  <si>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</si>
  <si>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</si>
  <si>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</si>
  <si>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</si>
  <si>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</si>
  <si>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</si>
  <si>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</si>
  <si>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</si>
  <si>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</si>
  <si>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</si>
  <si>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</si>
  <si>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</si>
  <si>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</si>
  <si>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</si>
  <si>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</si>
  <si>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</si>
  <si>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</si>
  <si>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</si>
  <si>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</si>
  <si>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</si>
  <si>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</si>
  <si>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</si>
  <si>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</si>
  <si>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</si>
  <si>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</si>
  <si>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</si>
  <si>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</si>
  <si>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</si>
  <si>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</si>
  <si>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</si>
  <si>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</si>
  <si>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</si>
  <si>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</si>
  <si>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</si>
  <si>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</si>
  <si>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</si>
  <si>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</si>
  <si>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</si>
  <si>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</si>
  <si>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</si>
  <si>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</si>
  <si>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</si>
  <si>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</si>
  <si>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</si>
  <si>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</si>
  <si>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</si>
  <si>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</si>
  <si>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</si>
  <si>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</si>
  <si>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</si>
  <si>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</si>
  <si>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</si>
  <si>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</si>
  <si>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</si>
  <si>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</si>
  <si>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</si>
  <si>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</si>
  <si>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</si>
  <si>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</si>
  <si>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</si>
  <si>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</si>
  <si>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</si>
  <si>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</si>
  <si>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</si>
  <si>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</si>
  <si>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</si>
  <si>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</si>
  <si>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</si>
  <si>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</si>
  <si>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</si>
  <si>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</si>
  <si>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</si>
  <si>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</si>
  <si>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</si>
  <si>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</si>
  <si>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</si>
  <si>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</si>
  <si>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</si>
  <si>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</si>
  <si>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</si>
  <si>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</si>
  <si>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</si>
  <si>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</si>
  <si>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</si>
  <si>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</si>
  <si>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</si>
  <si>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</si>
  <si>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</si>
  <si>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</si>
  <si>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</si>
  <si>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</si>
  <si>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</si>
  <si>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</si>
  <si>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</si>
  <si>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</si>
  <si>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</si>
  <si>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</si>
  <si>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</si>
  <si>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</si>
  <si>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</si>
  <si>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</si>
  <si>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</si>
  <si>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</si>
  <si>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</si>
  <si>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</si>
  <si>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</si>
  <si>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</si>
  <si>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</si>
  <si>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</si>
  <si>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</si>
  <si>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</si>
  <si>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</si>
  <si>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</si>
  <si>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</si>
  <si>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</si>
  <si>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</si>
  <si>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</si>
  <si>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</si>
  <si>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</si>
  <si>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</si>
  <si>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</si>
  <si>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</si>
  <si>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</si>
  <si>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</si>
  <si>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</si>
  <si>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</si>
  <si>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</si>
  <si>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</si>
  <si>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</si>
  <si>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</si>
  <si>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</si>
  <si>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</si>
  <si>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</si>
  <si>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</si>
  <si>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</si>
  <si>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</si>
  <si>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</si>
  <si>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</si>
  <si>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</si>
  <si>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</si>
  <si>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</si>
  <si>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</si>
  <si>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</si>
  <si>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</si>
  <si>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</si>
  <si>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</si>
  <si>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</si>
  <si>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</si>
  <si>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</si>
  <si>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</si>
  <si>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</si>
  <si>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</si>
  <si>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</si>
  <si>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</si>
  <si>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</si>
  <si>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</si>
  <si>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</si>
  <si>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</si>
  <si>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</si>
  <si>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</si>
  <si>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</si>
  <si>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</si>
  <si>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</si>
  <si>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</si>
  <si>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</si>
  <si>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</si>
  <si>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</si>
  <si>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</si>
  <si>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</si>
  <si>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</si>
  <si>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</si>
  <si>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</si>
  <si>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</si>
  <si>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</si>
  <si>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</si>
  <si>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</si>
  <si>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</si>
  <si>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</si>
  <si>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</si>
  <si>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</si>
  <si>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</si>
  <si>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</si>
  <si>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</si>
  <si>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</si>
  <si>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</si>
  <si>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</si>
  <si>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</si>
  <si>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</si>
  <si>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</si>
  <si>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</si>
  <si>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</si>
  <si>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</si>
  <si>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</si>
  <si>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</si>
  <si>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</si>
  <si>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</si>
  <si>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</si>
  <si>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</si>
  <si>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</si>
  <si>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</si>
  <si>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</si>
  <si>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</si>
  <si>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</si>
  <si>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</si>
  <si>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</si>
  <si>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</si>
  <si>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</si>
  <si>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</si>
  <si>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</si>
  <si>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</si>
  <si>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</si>
  <si>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</si>
  <si>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</si>
  <si>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</si>
  <si>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</si>
  <si>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</si>
  <si>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</si>
  <si>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</si>
  <si>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</si>
  <si>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</si>
  <si>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</si>
  <si>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</si>
  <si>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</si>
  <si>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</si>
  <si>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</si>
  <si>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</si>
  <si>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</si>
  <si>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</si>
  <si>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</si>
  <si>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</si>
  <si>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</si>
  <si>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</si>
  <si>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</si>
  <si>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</si>
  <si>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</si>
  <si>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</si>
  <si>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</si>
  <si>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</si>
  <si>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</si>
  <si>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</si>
  <si>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</si>
  <si>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</si>
  <si>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</si>
  <si>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</si>
  <si>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</si>
  <si>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</si>
  <si>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</si>
  <si>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</si>
  <si>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</si>
  <si>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</si>
  <si>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</si>
  <si>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</si>
  <si>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</si>
  <si>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</si>
  <si>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</si>
  <si>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</si>
  <si>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</si>
  <si>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</si>
  <si>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</si>
  <si>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</si>
  <si>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</si>
  <si>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</si>
  <si>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</si>
  <si>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</si>
  <si>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</si>
  <si>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</si>
  <si>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</si>
  <si>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</si>
  <si>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</si>
  <si>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</si>
  <si>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</si>
  <si>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</si>
  <si>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</si>
  <si>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</si>
  <si>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</si>
  <si>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</si>
  <si>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</si>
  <si>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</si>
  <si>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</si>
  <si>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</si>
  <si>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</si>
  <si>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</si>
  <si>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</si>
  <si>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</si>
  <si>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</si>
  <si>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</si>
  <si>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</si>
  <si>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</si>
  <si>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</si>
  <si>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</si>
  <si>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</si>
  <si>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</si>
  <si>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</si>
  <si>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</si>
  <si>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</si>
  <si>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</si>
  <si>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</si>
  <si>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</si>
  <si>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</si>
  <si>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</si>
  <si>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</si>
  <si>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</si>
  <si>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</si>
  <si>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</si>
  <si>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</si>
  <si>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</si>
  <si>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</si>
  <si>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</si>
  <si>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</si>
  <si>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</si>
  <si>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</si>
  <si>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</si>
  <si>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</si>
  <si>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</si>
  <si>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</si>
  <si>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</si>
  <si>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</si>
  <si>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</si>
  <si>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</si>
  <si>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</si>
  <si>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</si>
  <si>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</si>
  <si>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</si>
  <si>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</si>
  <si>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</si>
  <si>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</si>
  <si>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</si>
  <si>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</si>
  <si>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</si>
  <si>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</si>
  <si>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</si>
  <si>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</si>
  <si>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</si>
  <si>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</si>
  <si>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</si>
  <si>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</si>
  <si>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</si>
  <si>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</si>
  <si>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</si>
  <si>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</si>
  <si>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</si>
  <si>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</si>
  <si>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</si>
  <si>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</si>
  <si>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</si>
  <si>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</si>
  <si>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</si>
  <si>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</si>
  <si>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</si>
  <si>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</si>
  <si>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</si>
  <si>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</si>
  <si>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</si>
  <si>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</si>
  <si>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</si>
  <si>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</si>
  <si>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</si>
  <si>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</si>
  <si>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</si>
  <si>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</si>
  <si>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</si>
  <si>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</si>
  <si>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</si>
  <si>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</si>
  <si>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</si>
  <si>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</si>
  <si>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</si>
  <si>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</si>
  <si>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</si>
  <si>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</si>
  <si>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</si>
  <si>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</si>
  <si>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</si>
  <si>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</si>
  <si>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</si>
  <si>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</si>
  <si>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</si>
  <si>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</si>
  <si>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</si>
  <si>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</si>
  <si>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</si>
  <si>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</si>
  <si>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</si>
  <si>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</si>
  <si>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</si>
  <si>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</si>
  <si>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</si>
  <si>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</si>
  <si>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</si>
  <si>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</si>
  <si>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</si>
  <si>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</si>
  <si>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</si>
  <si>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</si>
  <si>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</si>
  <si>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</si>
  <si>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</si>
  <si>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</si>
  <si>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</si>
  <si>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</si>
  <si>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</si>
  <si>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</si>
  <si>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</si>
  <si>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</si>
  <si>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</si>
  <si>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</si>
  <si>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</si>
  <si>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</si>
  <si>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</si>
  <si>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</si>
  <si>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</si>
  <si>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</si>
  <si>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</si>
  <si>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</si>
  <si>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</si>
  <si>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</si>
  <si>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</si>
  <si>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</si>
  <si>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</si>
  <si>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</si>
  <si>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</si>
  <si>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</si>
  <si>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</si>
  <si>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</si>
  <si>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</si>
  <si>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</si>
  <si>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</si>
  <si>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</si>
  <si>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</si>
  <si>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</si>
  <si>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</si>
  <si>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</si>
  <si>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</si>
  <si>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</si>
  <si>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</si>
  <si>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</si>
  <si>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</si>
  <si>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</si>
  <si>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</si>
  <si>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</si>
  <si>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</si>
  <si>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</si>
  <si>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</si>
  <si>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</si>
  <si>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</si>
  <si>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</si>
  <si>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</si>
  <si>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</si>
  <si>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</si>
  <si>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</si>
  <si>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</si>
  <si>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</si>
  <si>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</si>
  <si>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</si>
  <si>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</si>
  <si>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</si>
  <si>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</si>
  <si>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</si>
  <si>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</si>
  <si>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</si>
  <si>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</si>
  <si>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</si>
  <si>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</si>
  <si>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</si>
  <si>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</si>
  <si>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</si>
  <si>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</si>
  <si>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</si>
  <si>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</si>
  <si>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</si>
  <si>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</si>
  <si>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</si>
  <si>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</si>
  <si>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</si>
  <si>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</si>
  <si>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</si>
  <si>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</si>
  <si>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</si>
  <si>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</si>
  <si>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</si>
  <si>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</si>
  <si>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</si>
  <si>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</si>
  <si>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</si>
  <si>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</si>
  <si>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</si>
  <si>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</si>
  <si>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</si>
  <si>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</si>
  <si>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</si>
  <si>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</si>
  <si>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</si>
  <si>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</si>
  <si>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</si>
  <si>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</si>
  <si>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</si>
  <si>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</si>
  <si>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</si>
  <si>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</si>
  <si>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</si>
  <si>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</si>
  <si>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</si>
  <si>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</si>
  <si>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</si>
  <si>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</si>
  <si>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</si>
  <si>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</si>
  <si>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</si>
  <si>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</si>
  <si>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</si>
  <si>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</si>
  <si>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</si>
  <si>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</si>
  <si>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</si>
  <si>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</si>
  <si>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</si>
  <si>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</si>
  <si>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</si>
  <si>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</si>
  <si>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</si>
  <si>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</si>
  <si>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</si>
  <si>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</si>
  <si>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</si>
  <si>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</si>
  <si>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</si>
  <si>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</si>
  <si>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</si>
  <si>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</si>
  <si>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</si>
  <si>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</si>
  <si>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</si>
  <si>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</si>
  <si>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</si>
  <si>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</si>
  <si>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</si>
  <si>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</si>
  <si>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</si>
  <si>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</si>
  <si>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</si>
  <si>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</si>
  <si>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</si>
  <si>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</si>
  <si>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</si>
  <si>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</si>
  <si>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</si>
  <si>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</si>
  <si>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</si>
  <si>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</si>
  <si>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</si>
  <si>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</si>
  <si>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</si>
  <si>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</si>
  <si>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</si>
  <si>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</si>
  <si>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</si>
  <si>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</si>
  <si>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</si>
  <si>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</si>
  <si>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</si>
  <si>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</si>
  <si>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</si>
  <si>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</si>
  <si>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</si>
  <si>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</si>
  <si>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</si>
  <si>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</si>
  <si>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</si>
  <si>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</si>
  <si>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</si>
  <si>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</si>
  <si>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</si>
  <si>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</si>
  <si>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</si>
  <si>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</si>
  <si>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</si>
  <si>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</si>
  <si>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</si>
  <si>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</si>
  <si>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</si>
  <si>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</si>
  <si>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</si>
  <si>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</si>
  <si>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</si>
  <si>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</si>
  <si>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</si>
  <si>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</si>
  <si>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</si>
  <si>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</si>
  <si>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</si>
  <si>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</si>
  <si>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</si>
  <si>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</si>
  <si>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</si>
  <si>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</si>
  <si>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</si>
  <si>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</si>
  <si>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</si>
  <si>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</si>
  <si>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</si>
  <si>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</si>
  <si>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</si>
  <si>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</si>
  <si>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</si>
  <si>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</si>
  <si>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</si>
  <si>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</si>
  <si>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</si>
  <si>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</si>
  <si>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</si>
  <si>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</si>
  <si>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</si>
  <si>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</si>
  <si>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</si>
  <si>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</si>
  <si>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</si>
  <si>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</si>
  <si>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</si>
  <si>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</si>
  <si>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</si>
  <si>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</si>
  <si>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</si>
  <si>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</si>
  <si>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</si>
  <si>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</si>
  <si>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</si>
  <si>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</si>
  <si>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</si>
  <si>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</si>
  <si>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</si>
  <si>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</si>
  <si>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</si>
  <si>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</si>
  <si>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</si>
  <si>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</si>
  <si>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</si>
  <si>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</si>
  <si>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</si>
  <si>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</si>
  <si>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</si>
  <si>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</si>
  <si>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</si>
  <si>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</si>
  <si>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</si>
  <si>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</si>
  <si>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</si>
  <si>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</si>
  <si>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</si>
  <si>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</si>
  <si>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</si>
  <si>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</si>
  <si>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</si>
  <si>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</si>
  <si>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</si>
  <si>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</si>
  <si>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</si>
  <si>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</si>
  <si>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</si>
  <si>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</si>
  <si>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</si>
  <si>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</si>
  <si>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</si>
  <si>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</si>
  <si>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</si>
  <si>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</si>
  <si>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</si>
  <si>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</si>
  <si>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</si>
  <si>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</si>
  <si>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</si>
  <si>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</si>
  <si>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</si>
  <si>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</si>
  <si>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</si>
  <si>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</si>
  <si>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</si>
  <si>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</si>
  <si>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</si>
  <si>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</si>
  <si>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</si>
  <si>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</si>
  <si>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</si>
  <si>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</si>
  <si>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</si>
  <si>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</si>
  <si>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</si>
  <si>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</si>
  <si>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</si>
  <si>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</si>
  <si>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</si>
  <si>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</si>
  <si>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</si>
  <si>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</si>
  <si>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</si>
  <si>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</si>
  <si>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</si>
  <si>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</si>
  <si>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</si>
  <si>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</si>
  <si>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</si>
  <si>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</si>
  <si>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</si>
  <si>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</si>
  <si>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</si>
  <si>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</si>
  <si>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</si>
  <si>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</si>
  <si>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</si>
  <si>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</si>
  <si>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</si>
  <si>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</si>
  <si>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</si>
  <si>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</si>
  <si>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</si>
  <si>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</si>
  <si>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</si>
  <si>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</si>
  <si>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</si>
  <si>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</si>
  <si>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</si>
  <si>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</si>
  <si>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</si>
  <si>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</si>
  <si>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</si>
  <si>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</si>
  <si>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</si>
  <si>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</si>
  <si>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</si>
  <si>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</si>
  <si>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</si>
  <si>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</si>
  <si>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</si>
  <si>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</si>
  <si>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</si>
  <si>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</si>
  <si>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</si>
  <si>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</si>
  <si>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</si>
  <si>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</si>
  <si>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</si>
  <si>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</si>
  <si>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</si>
  <si>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</si>
  <si>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</si>
  <si>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</si>
  <si>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</si>
  <si>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</si>
  <si>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</si>
  <si>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</si>
  <si>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</si>
  <si>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</si>
  <si>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</si>
  <si>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</si>
  <si>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</si>
  <si>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</si>
  <si>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</si>
  <si>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</si>
  <si>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</si>
  <si>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</si>
  <si>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</si>
  <si>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</si>
  <si>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</si>
  <si>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</si>
  <si>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</si>
  <si>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</si>
  <si>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</si>
  <si>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</si>
  <si>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</si>
  <si>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</si>
  <si>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</si>
  <si>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</si>
  <si>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</si>
  <si>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</si>
  <si>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</si>
  <si>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</si>
  <si>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</si>
  <si>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</si>
  <si>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</si>
  <si>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</si>
  <si>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</si>
  <si>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</si>
  <si>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</si>
  <si>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</si>
  <si>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</si>
  <si>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</si>
  <si>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</si>
  <si>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</si>
  <si>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</si>
  <si>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</si>
  <si>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</si>
  <si>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</si>
  <si>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</si>
  <si>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</si>
  <si>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</si>
  <si>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</si>
  <si>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</si>
  <si>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</si>
  <si>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</si>
  <si>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</si>
  <si>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</si>
  <si>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</si>
  <si>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</si>
  <si>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</si>
  <si>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</si>
  <si>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</si>
  <si>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</si>
  <si>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</si>
  <si>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</si>
  <si>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</si>
  <si>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</si>
  <si>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</si>
  <si>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</si>
  <si>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</si>
  <si>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</si>
  <si>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</si>
  <si>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</si>
  <si>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</si>
  <si>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</si>
  <si>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</si>
  <si>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</si>
  <si>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</si>
  <si>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</si>
  <si>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</si>
  <si>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</si>
  <si>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</si>
  <si>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</si>
  <si>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</si>
  <si>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</si>
  <si>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</si>
  <si>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</si>
  <si>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</si>
  <si>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</si>
  <si>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</si>
  <si>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</si>
  <si>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</si>
  <si>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</si>
  <si>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</si>
  <si>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</si>
  <si>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</si>
  <si>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</si>
  <si>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</si>
  <si>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</si>
  <si>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</si>
  <si>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</si>
  <si>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</si>
  <si>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</si>
  <si>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</si>
  <si>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</si>
  <si>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</si>
  <si>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</si>
  <si>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</si>
  <si>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</si>
  <si>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</si>
  <si>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</si>
  <si>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</si>
  <si>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</si>
  <si>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</si>
  <si>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</si>
  <si>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</si>
  <si>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</si>
  <si>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</si>
  <si>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</si>
  <si>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</si>
  <si>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</si>
  <si>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</si>
  <si>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</si>
  <si>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</si>
  <si>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</si>
  <si>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</si>
  <si>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</si>
  <si>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</si>
  <si>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</si>
  <si>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</si>
  <si>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</si>
  <si>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</si>
  <si>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</si>
  <si>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</si>
  <si>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</si>
  <si>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</si>
  <si>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</si>
  <si>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</si>
  <si>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</si>
  <si>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</si>
  <si>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</si>
  <si>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</si>
  <si>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</si>
  <si>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</si>
  <si>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</si>
  <si>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</si>
  <si>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</si>
  <si>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</si>
  <si>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</si>
  <si>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</si>
  <si>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</si>
  <si>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</si>
  <si>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</si>
  <si>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</si>
  <si>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</si>
  <si>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</si>
  <si>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</si>
  <si>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</si>
  <si>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</si>
  <si>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</si>
  <si>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</si>
  <si>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</si>
  <si>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</si>
  <si>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</si>
  <si>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</si>
  <si>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</si>
  <si>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</si>
  <si>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</si>
  <si>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</si>
  <si>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</si>
  <si>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</si>
  <si>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</si>
  <si>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</si>
  <si>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</si>
  <si>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</si>
  <si>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</si>
  <si>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</si>
  <si>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</si>
  <si>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</si>
  <si>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</si>
  <si>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</si>
  <si>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</si>
  <si>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</si>
  <si>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</si>
  <si>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</si>
  <si>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</si>
  <si>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</si>
  <si>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</si>
  <si>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</si>
  <si>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</si>
  <si>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</si>
  <si>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</si>
  <si>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</si>
  <si>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</si>
  <si>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</si>
  <si>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</si>
  <si>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</si>
  <si>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</si>
  <si>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</si>
  <si>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</si>
  <si>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</si>
  <si>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</si>
  <si>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</si>
  <si>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</si>
  <si>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</si>
  <si>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</si>
  <si>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</si>
  <si>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</si>
  <si>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</si>
  <si>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</si>
  <si>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</si>
  <si>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</si>
  <si>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</si>
  <si>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</si>
  <si>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</si>
  <si>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</si>
  <si>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</si>
  <si>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</si>
  <si>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</si>
  <si>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</si>
  <si>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</si>
  <si>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</si>
  <si>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</si>
  <si>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</si>
  <si>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</si>
  <si>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</si>
  <si>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</si>
  <si>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</si>
  <si>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</si>
  <si>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</si>
  <si>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</si>
  <si>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</si>
  <si>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</si>
  <si>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</si>
  <si>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</si>
  <si>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</si>
  <si>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</si>
  <si>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</si>
  <si>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</si>
  <si>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</si>
  <si>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</si>
  <si>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</si>
  <si>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</si>
  <si>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</si>
  <si>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</si>
  <si>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</si>
  <si>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</si>
  <si>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</si>
  <si>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</si>
  <si>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</si>
  <si>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</si>
  <si>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</si>
  <si>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</si>
  <si>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</si>
  <si>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</si>
  <si>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</si>
  <si>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</si>
  <si>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</si>
  <si>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</si>
  <si>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</si>
  <si>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</si>
  <si>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</si>
  <si>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</si>
  <si>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</si>
  <si>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</si>
  <si>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</si>
  <si>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</si>
  <si>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</si>
  <si>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</si>
  <si>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</si>
  <si>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</si>
  <si>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</si>
  <si>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</si>
  <si>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</si>
  <si>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</si>
  <si>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</si>
  <si>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</si>
  <si>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</si>
  <si>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</si>
  <si>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</si>
  <si>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</si>
  <si>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</si>
  <si>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</si>
  <si>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</si>
  <si>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</si>
  <si>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</si>
  <si>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</si>
  <si>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</si>
  <si>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</si>
  <si>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</si>
  <si>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</si>
  <si>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</si>
  <si>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</si>
  <si>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</si>
  <si>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</si>
  <si>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</si>
  <si>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</si>
  <si>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</si>
  <si>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</si>
  <si>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</si>
  <si>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</si>
  <si>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</si>
  <si>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</si>
  <si>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</si>
  <si>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</si>
  <si>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</si>
  <si>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</si>
  <si>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</si>
  <si>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</si>
  <si>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</si>
  <si>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</si>
  <si>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</si>
  <si>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</si>
  <si>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</si>
  <si>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</si>
  <si>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</si>
  <si>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</si>
  <si>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</si>
  <si>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</si>
  <si>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</si>
  <si>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</si>
  <si>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</si>
  <si>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</si>
  <si>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</si>
  <si>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</si>
  <si>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</si>
  <si>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</si>
  <si>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</si>
  <si>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</si>
  <si>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</si>
  <si>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</si>
  <si>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</si>
  <si>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</si>
  <si>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</si>
  <si>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</si>
  <si>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</si>
  <si>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</si>
  <si>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</si>
  <si>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</si>
  <si>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</si>
  <si>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</si>
  <si>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</si>
  <si>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</si>
  <si>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</si>
  <si>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</si>
  <si>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</si>
  <si>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</si>
  <si>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</si>
  <si>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</si>
  <si>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</si>
  <si>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</si>
  <si>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</si>
  <si>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</si>
  <si>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</si>
  <si>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</si>
  <si>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</si>
  <si>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</si>
  <si>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</si>
  <si>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</si>
  <si>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</si>
  <si>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</si>
  <si>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</si>
  <si>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</si>
  <si>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</si>
  <si>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</si>
  <si>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</si>
  <si>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</si>
  <si>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</si>
  <si>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</si>
  <si>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</si>
  <si>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</si>
  <si>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</si>
  <si>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</si>
  <si>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</si>
  <si>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</si>
  <si>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</si>
  <si>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</si>
  <si>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</si>
  <si>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</si>
  <si>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</si>
  <si>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</si>
  <si>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</si>
  <si>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</si>
  <si>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</si>
  <si>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</si>
  <si>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</si>
  <si>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</si>
  <si>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</si>
  <si>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</si>
  <si>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</si>
  <si>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</si>
  <si>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</si>
  <si>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</si>
  <si>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</si>
  <si>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</si>
  <si>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</si>
  <si>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</si>
  <si>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</si>
  <si>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</si>
  <si>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</si>
  <si>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</si>
  <si>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</si>
  <si>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</si>
  <si>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</si>
  <si>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</si>
  <si>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</si>
  <si>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</si>
  <si>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</si>
  <si>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</si>
  <si>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</si>
  <si>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</si>
  <si>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</si>
  <si>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</si>
  <si>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</si>
  <si>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</si>
  <si>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</si>
  <si>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</si>
  <si>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</si>
  <si>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</si>
  <si>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</si>
  <si>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</si>
  <si>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</si>
  <si>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</si>
  <si>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</si>
  <si>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</si>
  <si>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</si>
  <si>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</si>
  <si>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</si>
  <si>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</si>
  <si>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</si>
  <si>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</si>
  <si>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</si>
  <si>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</si>
  <si>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</si>
  <si>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</si>
  <si>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</si>
  <si>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</si>
  <si>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</si>
  <si>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</si>
  <si>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</si>
  <si>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</si>
  <si>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</si>
  <si>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</si>
  <si>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</si>
  <si>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</si>
  <si>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</si>
  <si>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</si>
  <si>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</si>
  <si>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</si>
  <si>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</si>
  <si>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</si>
  <si>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</si>
  <si>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</si>
  <si>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</si>
  <si>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</si>
  <si>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</si>
  <si>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</si>
  <si>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</si>
  <si>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</si>
  <si>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</si>
  <si>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</si>
  <si>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</si>
  <si>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</si>
  <si>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</si>
  <si>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</si>
  <si>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</si>
  <si>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</si>
  <si>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</si>
  <si>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</si>
  <si>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</si>
  <si>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</si>
  <si>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</si>
  <si>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</si>
  <si>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</si>
  <si>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</si>
  <si>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</si>
  <si>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</si>
  <si>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</si>
  <si>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</si>
  <si>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</si>
  <si>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</si>
  <si>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</si>
  <si>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</si>
  <si>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</si>
  <si>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</si>
  <si>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</si>
  <si>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</si>
  <si>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</si>
  <si>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</si>
  <si>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</si>
  <si>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</si>
  <si>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</si>
  <si>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</si>
  <si>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</si>
  <si>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</si>
  <si>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</si>
  <si>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</si>
  <si>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</si>
  <si>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</si>
  <si>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</si>
  <si>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</si>
  <si>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</si>
  <si>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</si>
  <si>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</si>
  <si>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</si>
  <si>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</si>
  <si>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</si>
  <si>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</si>
  <si>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</si>
  <si>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</si>
  <si>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</si>
  <si>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</si>
  <si>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</si>
  <si>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</si>
  <si>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</si>
  <si>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</si>
  <si>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</si>
  <si>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</si>
  <si>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</si>
  <si>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</si>
  <si>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</si>
  <si>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</si>
  <si>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</si>
  <si>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</si>
  <si>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</si>
  <si>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</si>
  <si>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</si>
  <si>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</si>
  <si>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</si>
  <si>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</si>
  <si>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</si>
  <si>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</si>
  <si>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</si>
  <si>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</si>
  <si>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</si>
  <si>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</si>
  <si>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</si>
  <si>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</si>
  <si>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</si>
  <si>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</si>
  <si>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</si>
  <si>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</si>
  <si>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</si>
  <si>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</si>
  <si>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</si>
  <si>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</si>
  <si>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</si>
  <si>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</si>
  <si>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</si>
  <si>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</si>
  <si>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</si>
  <si>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</si>
  <si>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</si>
  <si>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</si>
  <si>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</si>
  <si>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</si>
  <si>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</si>
  <si>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</si>
  <si>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</si>
  <si>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</si>
  <si>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</si>
  <si>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</si>
  <si>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</si>
  <si>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</si>
  <si>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</si>
  <si>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</si>
  <si>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</si>
  <si>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</si>
  <si>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</si>
  <si>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</si>
  <si>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</si>
  <si>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</si>
  <si>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</si>
  <si>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</si>
  <si>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</si>
  <si>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</si>
  <si>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</si>
  <si>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</si>
  <si>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</si>
  <si>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</si>
  <si>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</si>
  <si>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</si>
  <si>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</si>
  <si>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</si>
  <si>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</si>
  <si>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</si>
  <si>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</si>
  <si>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</si>
  <si>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</si>
  <si>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</si>
  <si>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</si>
  <si>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</si>
  <si>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</si>
  <si>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</si>
  <si>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</si>
  <si>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</si>
  <si>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</si>
  <si>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</si>
  <si>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</si>
  <si>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</si>
  <si>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</si>
  <si>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</si>
  <si>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</si>
  <si>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</si>
  <si>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</si>
  <si>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</si>
  <si>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</si>
  <si>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</si>
  <si>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</si>
  <si>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</si>
  <si>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</si>
  <si>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</si>
  <si>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</si>
  <si>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</si>
  <si>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</si>
  <si>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</si>
  <si>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</si>
  <si>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</si>
  <si>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</si>
  <si>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</si>
  <si>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</si>
  <si>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</si>
  <si>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</si>
  <si>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</si>
  <si>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</si>
  <si>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</si>
  <si>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</si>
  <si>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</si>
  <si>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</si>
  <si>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</si>
  <si>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</si>
  <si>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</si>
  <si>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</si>
  <si>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</si>
  <si>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</si>
  <si>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</si>
  <si>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</si>
  <si>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</si>
  <si>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</si>
  <si>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</si>
  <si>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</si>
  <si>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</si>
  <si>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</si>
  <si>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</si>
  <si>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</si>
  <si>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</si>
  <si>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</si>
  <si>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</si>
  <si>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</si>
  <si>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</si>
  <si>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</si>
  <si>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</si>
  <si>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</si>
  <si>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</si>
  <si>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</si>
  <si>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</si>
  <si>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</si>
  <si>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</si>
  <si>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</si>
  <si>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</si>
  <si>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</si>
  <si>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</si>
  <si>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</si>
  <si>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</si>
  <si>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</si>
  <si>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</si>
  <si>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</si>
  <si>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</si>
  <si>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</si>
  <si>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</si>
  <si>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</si>
  <si>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</si>
  <si>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</si>
  <si>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</si>
  <si>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</si>
  <si>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</si>
  <si>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</si>
  <si>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</si>
  <si>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</si>
  <si>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</si>
  <si>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</si>
  <si>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</si>
  <si>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</si>
  <si>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</si>
  <si>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</si>
  <si>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</si>
  <si>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</si>
  <si>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</si>
  <si>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</si>
  <si>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</si>
  <si>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</si>
  <si>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</si>
  <si>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</si>
  <si>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</si>
  <si>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</si>
  <si>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</si>
  <si>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</si>
  <si>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</si>
  <si>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</si>
  <si>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</si>
  <si>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</si>
  <si>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</si>
  <si>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</si>
  <si>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</si>
  <si>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</si>
  <si>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</si>
  <si>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</si>
  <si>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</si>
  <si>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</si>
  <si>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</si>
  <si>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</si>
  <si>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</si>
  <si>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</si>
  <si>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</si>
  <si>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</si>
  <si>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</si>
  <si>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</si>
  <si>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</si>
  <si>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</si>
  <si>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</si>
  <si>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</si>
  <si>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</si>
  <si>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</si>
  <si>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</si>
  <si>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</si>
  <si>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</si>
  <si>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</si>
  <si>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</si>
  <si>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</si>
  <si>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</si>
  <si>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</si>
  <si>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</si>
  <si>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</si>
  <si>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</si>
  <si>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</si>
  <si>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</si>
  <si>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</si>
  <si>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</si>
  <si>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</si>
  <si>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</si>
  <si>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</si>
  <si>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</si>
  <si>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</si>
  <si>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</si>
  <si>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</si>
  <si>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</si>
  <si>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</si>
  <si>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</si>
  <si>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</si>
  <si>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</si>
  <si>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</si>
  <si>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</si>
  <si>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</si>
  <si>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</si>
  <si>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</si>
  <si>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</si>
  <si>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</si>
  <si>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</si>
  <si>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</si>
  <si>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</si>
  <si>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</si>
  <si>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</si>
  <si>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</si>
  <si>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</si>
  <si>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</si>
  <si>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</si>
  <si>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</si>
  <si>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</si>
  <si>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</si>
  <si>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</si>
  <si>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</si>
  <si>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</si>
  <si>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</si>
  <si>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</si>
  <si>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</si>
  <si>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</si>
  <si>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</si>
  <si>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</si>
  <si>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</si>
  <si>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</si>
  <si>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</si>
  <si>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</si>
  <si>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</si>
  <si>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</si>
  <si>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</si>
  <si>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</si>
  <si>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</si>
  <si>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</si>
  <si>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</si>
  <si>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</si>
  <si>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</si>
  <si>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</si>
  <si>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</si>
  <si>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</si>
  <si>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</si>
  <si>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</si>
  <si>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</si>
  <si>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</si>
  <si>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</si>
  <si>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</si>
  <si>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</si>
  <si>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</si>
  <si>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</si>
  <si>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</si>
  <si>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</si>
  <si>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</si>
  <si>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</si>
  <si>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</si>
  <si>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</si>
  <si>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</si>
  <si>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</si>
  <si>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</si>
  <si>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</si>
  <si>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</si>
  <si>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</si>
  <si>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</si>
  <si>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</si>
  <si>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</si>
  <si>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</si>
  <si>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</si>
  <si>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</si>
  <si>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</si>
  <si>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</si>
  <si>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</si>
  <si>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</si>
  <si>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</si>
  <si>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</si>
  <si>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</si>
  <si>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</si>
  <si>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</si>
  <si>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</si>
  <si>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</si>
  <si>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</si>
  <si>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</si>
  <si>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</si>
  <si>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</si>
  <si>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</si>
  <si>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</si>
  <si>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</si>
  <si>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</si>
  <si>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</si>
  <si>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</si>
  <si>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</si>
  <si>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</si>
  <si>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</si>
  <si>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</si>
  <si>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</si>
  <si>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</si>
  <si>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</si>
  <si>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</si>
  <si>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</si>
  <si>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</si>
  <si>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</si>
  <si>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</si>
  <si>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</si>
  <si>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</si>
  <si>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</si>
  <si>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</si>
  <si>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</si>
  <si>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</si>
  <si>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</si>
  <si>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</si>
  <si>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</si>
  <si>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</si>
  <si>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</si>
  <si>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</si>
  <si>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</si>
  <si>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</si>
  <si>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</si>
  <si>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</si>
  <si>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</si>
  <si>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</si>
  <si>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</si>
  <si>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</si>
  <si>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</si>
  <si>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</si>
  <si>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</si>
  <si>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</si>
  <si>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</si>
  <si>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</si>
  <si>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</si>
  <si>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</si>
  <si>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</si>
  <si>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</si>
  <si>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</si>
  <si>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</si>
  <si>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</si>
  <si>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</si>
  <si>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</si>
  <si>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</si>
  <si>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</si>
  <si>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</si>
  <si>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</si>
  <si>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</si>
  <si>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</si>
  <si>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</si>
  <si>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</si>
  <si>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</si>
  <si>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</si>
  <si>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</si>
  <si>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</si>
  <si>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</si>
  <si>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</si>
  <si>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</si>
  <si>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</si>
  <si>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</si>
  <si>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</si>
  <si>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</si>
  <si>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</si>
  <si>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</si>
  <si>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</si>
  <si>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</si>
  <si>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</si>
  <si>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</si>
  <si>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</si>
  <si>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</si>
  <si>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</si>
  <si>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</si>
  <si>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</si>
  <si>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</si>
  <si>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</si>
  <si>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</si>
  <si>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</si>
  <si>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</si>
  <si>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</si>
  <si>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</si>
  <si>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</si>
  <si>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</si>
  <si>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</si>
  <si>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</si>
  <si>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</si>
  <si>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</si>
  <si>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</si>
  <si>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</si>
  <si>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</si>
  <si>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</si>
  <si>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</si>
  <si>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</si>
  <si>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</si>
  <si>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</si>
  <si>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</si>
  <si>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</si>
  <si>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</si>
  <si>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</si>
  <si>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</si>
  <si>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</si>
  <si>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</si>
  <si>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</si>
  <si>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</si>
  <si>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</si>
  <si>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</si>
  <si>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</si>
  <si>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</si>
  <si>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</si>
  <si>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</si>
  <si>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</si>
  <si>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</si>
  <si>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</si>
  <si>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</si>
  <si>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</si>
  <si>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</si>
  <si>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</si>
  <si>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</si>
  <si>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</si>
  <si>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</si>
  <si>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</si>
  <si>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</si>
  <si>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</si>
  <si>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</si>
  <si>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</si>
  <si>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</si>
  <si>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</si>
  <si>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</si>
  <si>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</si>
  <si>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</si>
  <si>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</si>
  <si>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</si>
  <si>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</si>
  <si>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</si>
  <si>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</si>
  <si>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</si>
  <si>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</si>
  <si>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</si>
  <si>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</si>
  <si>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</si>
  <si>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</si>
  <si>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</si>
  <si>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</si>
  <si>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</si>
  <si>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</si>
  <si>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</si>
  <si>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</si>
  <si>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</si>
  <si>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</si>
  <si>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</si>
  <si>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</si>
  <si>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</si>
  <si>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</si>
  <si>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</si>
  <si>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</si>
  <si>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</si>
  <si>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</si>
  <si>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</si>
  <si>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</si>
  <si>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</si>
  <si>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</si>
  <si>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</si>
  <si>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</si>
  <si>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</si>
  <si>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</si>
  <si>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</si>
  <si>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</si>
  <si>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</si>
  <si>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</si>
  <si>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</si>
  <si>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</si>
  <si>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</si>
  <si>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</si>
  <si>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</si>
  <si>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</si>
  <si>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</si>
  <si>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</si>
  <si>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</si>
  <si>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</si>
  <si>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</si>
  <si>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</si>
  <si>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</si>
  <si>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</si>
  <si>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</si>
  <si>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</si>
  <si>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</si>
  <si>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</si>
  <si>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</si>
  <si>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</si>
  <si>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</si>
  <si>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</si>
  <si>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</si>
  <si>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</si>
  <si>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</si>
  <si>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</si>
  <si>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</si>
  <si>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</si>
  <si>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</si>
  <si>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</si>
  <si>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</si>
  <si>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</si>
  <si>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</si>
  <si>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</si>
  <si>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</si>
  <si>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</si>
  <si>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</si>
  <si>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</si>
  <si>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</si>
  <si>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</si>
  <si>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</si>
  <si>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</si>
  <si>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</si>
  <si>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</si>
  <si>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</si>
  <si>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</si>
  <si>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</si>
  <si>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</si>
  <si>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</si>
  <si>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</si>
  <si>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</si>
  <si>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</si>
  <si>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</si>
  <si>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</si>
  <si>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</si>
  <si>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</si>
  <si>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</si>
  <si>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</si>
  <si>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</si>
  <si>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</si>
  <si>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</si>
  <si>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</si>
  <si>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</si>
  <si>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</si>
  <si>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</si>
  <si>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</si>
  <si>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</si>
  <si>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</si>
  <si>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</si>
  <si>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</si>
  <si>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</si>
  <si>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</si>
  <si>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</si>
  <si>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</si>
  <si>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</si>
  <si>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</si>
  <si>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</si>
  <si>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</si>
  <si>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</si>
  <si>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</si>
  <si>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</si>
  <si>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</si>
  <si>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</si>
  <si>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</si>
  <si>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</si>
  <si>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</si>
  <si>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</si>
  <si>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</si>
  <si>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</si>
  <si>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</si>
  <si>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</si>
  <si>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</si>
  <si>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</si>
  <si>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</si>
  <si>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</si>
  <si>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</si>
  <si>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</si>
  <si>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</si>
  <si>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</si>
  <si>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</si>
  <si>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</si>
  <si>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</si>
  <si>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</si>
  <si>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</si>
  <si>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</si>
  <si>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</si>
  <si>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</si>
  <si>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</si>
  <si>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</si>
  <si>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</si>
  <si>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</si>
  <si>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</si>
  <si>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</si>
  <si>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</si>
  <si>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</si>
  <si>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</si>
  <si>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</si>
  <si>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</si>
  <si>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</si>
  <si>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</si>
  <si>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</si>
  <si>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</si>
  <si>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</si>
  <si>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</si>
  <si>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</si>
  <si>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</si>
  <si>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</si>
  <si>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</si>
  <si>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</si>
  <si>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</si>
  <si>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</si>
  <si>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</si>
  <si>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</si>
  <si>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</si>
  <si>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</si>
  <si>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</si>
  <si>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</si>
  <si>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</si>
  <si>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</si>
  <si>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</si>
  <si>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</si>
  <si>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</si>
  <si>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</si>
  <si>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</si>
  <si>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</si>
  <si>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</si>
  <si>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</si>
  <si>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</si>
  <si>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</si>
  <si>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</si>
  <si>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</si>
  <si>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</si>
  <si>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</si>
  <si>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</si>
  <si>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</si>
  <si>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</si>
  <si>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</si>
  <si>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</si>
  <si>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</si>
  <si>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</si>
  <si>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</si>
  <si>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</si>
  <si>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</si>
  <si>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</si>
  <si>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</si>
  <si>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</si>
  <si>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</si>
  <si>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</si>
  <si>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</si>
  <si>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</si>
  <si>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</si>
  <si>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</si>
  <si>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</si>
  <si>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</si>
  <si>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</si>
  <si>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</si>
  <si>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</si>
  <si>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</si>
  <si>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</si>
  <si>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</si>
  <si>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</si>
  <si>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</si>
  <si>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</si>
  <si>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</si>
  <si>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</si>
  <si>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</si>
  <si>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</si>
  <si>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</si>
  <si>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</si>
  <si>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</si>
  <si>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</si>
  <si>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</si>
  <si>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</si>
  <si>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</si>
  <si>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</si>
  <si>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</si>
  <si>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</si>
  <si>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</si>
  <si>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</si>
  <si>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</si>
  <si>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</si>
  <si>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</si>
  <si>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</si>
  <si>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</si>
  <si>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</si>
  <si>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</si>
  <si>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</si>
  <si>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</si>
  <si>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</si>
  <si>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</si>
  <si>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</si>
  <si>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</si>
  <si>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</si>
  <si>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</si>
  <si>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</si>
  <si>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</si>
  <si>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</si>
  <si>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</si>
  <si>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</si>
  <si>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</si>
  <si>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</si>
  <si>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</si>
  <si>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</si>
  <si>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</si>
  <si>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</si>
  <si>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</si>
  <si>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</si>
  <si>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</si>
  <si>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</si>
  <si>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</si>
  <si>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</si>
  <si>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</si>
  <si>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</si>
  <si>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</si>
  <si>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</si>
  <si>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</si>
  <si>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</si>
  <si>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</si>
  <si>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</si>
  <si>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</si>
  <si>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</si>
  <si>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</si>
  <si>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</si>
  <si>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</si>
  <si>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</si>
  <si>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</si>
  <si>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</si>
  <si>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</si>
  <si>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</si>
  <si>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</si>
  <si>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</si>
  <si>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</si>
  <si>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</si>
  <si>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</si>
  <si>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</si>
  <si>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</si>
  <si>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</si>
  <si>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</si>
  <si>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</si>
  <si>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</si>
  <si>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</si>
  <si>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</si>
  <si>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</si>
  <si>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</si>
  <si>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</si>
  <si>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</si>
  <si>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</si>
  <si>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</si>
  <si>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</si>
  <si>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</si>
  <si>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</si>
  <si>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</si>
  <si>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</si>
  <si>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</si>
  <si>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</si>
  <si>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</si>
  <si>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</si>
  <si>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</si>
  <si>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</si>
  <si>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</si>
  <si>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</si>
  <si>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</si>
  <si>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</si>
  <si>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</si>
  <si>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</si>
  <si>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</si>
  <si>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</si>
  <si>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</si>
  <si>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</si>
  <si>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</si>
  <si>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</si>
  <si>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</si>
  <si>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</si>
  <si>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</si>
  <si>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</si>
  <si>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</si>
  <si>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</si>
  <si>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</si>
  <si>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</si>
  <si>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</si>
  <si>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</si>
  <si>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</si>
  <si>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</si>
  <si>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</si>
  <si>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</si>
  <si>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</si>
  <si>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</si>
  <si>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</si>
  <si>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</si>
  <si>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</si>
  <si>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</si>
  <si>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</si>
  <si>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</si>
  <si>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</si>
  <si>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</si>
  <si>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</si>
  <si>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</si>
  <si>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</si>
  <si>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</si>
  <si>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</si>
  <si>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</si>
  <si>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</si>
  <si>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</si>
  <si>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</si>
  <si>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</si>
  <si>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</si>
  <si>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</si>
  <si>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</si>
  <si>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</si>
  <si>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</si>
  <si>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</si>
  <si>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</si>
  <si>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</si>
  <si>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</si>
  <si>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</si>
  <si>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</si>
  <si>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</si>
  <si>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</si>
  <si>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</si>
  <si>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</si>
  <si>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</si>
  <si>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</si>
  <si>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</si>
  <si>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</si>
  <si>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</si>
  <si>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</si>
  <si>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</si>
  <si>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</si>
  <si>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</si>
  <si>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</si>
  <si>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</si>
  <si>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</si>
  <si>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</si>
  <si>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</si>
  <si>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</si>
  <si>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</si>
  <si>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</si>
  <si>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</si>
  <si>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</si>
  <si>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</si>
  <si>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</si>
  <si>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</si>
  <si>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</si>
  <si>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</si>
  <si>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</si>
  <si>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</si>
  <si>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</si>
  <si>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</si>
  <si>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</si>
  <si>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</si>
  <si>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</si>
  <si>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</si>
  <si>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</si>
  <si>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</si>
  <si>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</si>
  <si>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</si>
  <si>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</si>
  <si>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</si>
  <si>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</si>
  <si>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</si>
  <si>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</si>
  <si>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</si>
  <si>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</si>
  <si>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</si>
  <si>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</si>
  <si>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</si>
  <si>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</si>
  <si>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</si>
  <si>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</si>
  <si>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</si>
  <si>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</si>
  <si>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</si>
  <si>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</si>
  <si>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</si>
  <si>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</si>
  <si>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</si>
  <si>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</si>
  <si>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</si>
  <si>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</si>
  <si>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</si>
  <si>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</si>
  <si>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</si>
  <si>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</si>
  <si>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</si>
  <si>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</si>
  <si>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</si>
  <si>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</si>
  <si>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</si>
  <si>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</si>
  <si>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</si>
  <si>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</si>
  <si>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</si>
  <si>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</si>
  <si>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</si>
  <si>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</si>
  <si>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</si>
  <si>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</si>
  <si>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</si>
  <si>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</si>
  <si>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</si>
  <si>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</si>
  <si>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</si>
  <si>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</si>
  <si>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</si>
  <si>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</si>
  <si>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</si>
  <si>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</si>
  <si>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</si>
  <si>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</si>
  <si>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</si>
  <si>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</si>
  <si>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</si>
  <si>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</si>
  <si>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</si>
  <si>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</si>
  <si>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</si>
  <si>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</si>
  <si>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</si>
  <si>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</si>
  <si>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</si>
  <si>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</si>
  <si>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</si>
  <si>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</si>
  <si>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</si>
  <si>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</si>
  <si>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</si>
  <si>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</si>
  <si>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</si>
  <si>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</si>
  <si>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</si>
  <si>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</si>
  <si>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</si>
  <si>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</si>
  <si>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</si>
  <si>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</si>
  <si>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</si>
  <si>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</si>
  <si>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</si>
  <si>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</si>
  <si>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</si>
  <si>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</si>
  <si>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</si>
  <si>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</si>
  <si>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</si>
  <si>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</si>
  <si>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</si>
  <si>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</si>
  <si>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</si>
  <si>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</si>
  <si>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</si>
  <si>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</si>
  <si>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</si>
  <si>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</si>
  <si>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</si>
  <si>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</si>
  <si>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</si>
  <si>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</si>
  <si>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</si>
  <si>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</si>
  <si>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</si>
  <si>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</si>
  <si>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</si>
  <si>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</si>
  <si>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</si>
  <si>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</si>
  <si>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</si>
  <si>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</si>
  <si>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</si>
  <si>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</si>
  <si>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</si>
  <si>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</si>
  <si>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</si>
  <si>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</si>
  <si>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</si>
  <si>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</si>
  <si>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</si>
  <si>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</si>
  <si>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</si>
  <si>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</si>
  <si>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</si>
  <si>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</si>
  <si>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</si>
  <si>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</si>
  <si>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</si>
  <si>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</si>
  <si>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</si>
  <si>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</si>
  <si>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</si>
  <si>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</si>
  <si>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</si>
  <si>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</si>
  <si>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</si>
  <si>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</si>
  <si>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</si>
  <si>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</si>
  <si>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</si>
  <si>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</si>
  <si>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</si>
  <si>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</si>
  <si>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</si>
  <si>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</si>
  <si>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</si>
  <si>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</si>
  <si>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</si>
  <si>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</si>
  <si>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</si>
  <si>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</si>
  <si>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</si>
  <si>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</si>
  <si>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</si>
  <si>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</si>
  <si>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</si>
  <si>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</si>
  <si>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</si>
  <si>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</si>
  <si>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</si>
  <si>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</si>
  <si>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</si>
  <si>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</si>
  <si>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</si>
  <si>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</si>
  <si>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</si>
  <si>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</si>
  <si>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</si>
  <si>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</si>
  <si>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</si>
  <si>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</si>
  <si>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</si>
  <si>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</si>
  <si>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</si>
  <si>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</si>
  <si>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</si>
  <si>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</si>
  <si>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</si>
  <si>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</si>
  <si>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</si>
  <si>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</si>
  <si>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</si>
  <si>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</si>
  <si>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</si>
  <si>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</si>
  <si>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</si>
  <si>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</si>
  <si>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</si>
  <si>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</si>
  <si>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</si>
  <si>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</si>
  <si>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</si>
  <si>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</si>
  <si>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</si>
  <si>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</si>
  <si>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</si>
  <si>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</si>
  <si>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</si>
  <si>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</si>
  <si>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</si>
  <si>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</si>
  <si>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</si>
  <si>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</si>
  <si>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</si>
  <si>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</si>
  <si>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</si>
  <si>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</si>
  <si>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</si>
  <si>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</si>
  <si>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</si>
  <si>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</si>
  <si>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</si>
  <si>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</si>
  <si>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</si>
  <si>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</si>
  <si>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</si>
  <si>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</si>
  <si>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</si>
  <si>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</si>
  <si>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</si>
  <si>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</si>
  <si>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</si>
  <si>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</si>
  <si>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</si>
  <si>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</si>
  <si>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</si>
  <si>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</si>
  <si>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</si>
  <si>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</si>
  <si>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</si>
  <si>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</si>
  <si>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</si>
  <si>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</si>
  <si>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</si>
  <si>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</si>
  <si>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</si>
  <si>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</si>
  <si>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</si>
  <si>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</si>
  <si>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</si>
  <si>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</si>
  <si>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</si>
  <si>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</si>
  <si>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</si>
  <si>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</si>
  <si>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</si>
  <si>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</si>
  <si>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</si>
  <si>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</si>
  <si>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</si>
  <si>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</si>
  <si>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</si>
  <si>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</si>
  <si>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</si>
  <si>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</si>
  <si>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</si>
  <si>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</si>
  <si>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</si>
  <si>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</si>
  <si>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</si>
  <si>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</si>
  <si>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</si>
  <si>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</si>
  <si>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</si>
  <si>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</si>
  <si>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</si>
  <si>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</si>
  <si>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</si>
  <si>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</si>
  <si>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</si>
  <si>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</si>
  <si>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</si>
  <si>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</si>
  <si>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</si>
  <si>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</si>
  <si>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</si>
  <si>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</si>
  <si>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</si>
  <si>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</si>
  <si>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</si>
  <si>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</si>
  <si>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</si>
  <si>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</si>
  <si>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</si>
  <si>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</si>
  <si>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</si>
  <si>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</si>
  <si>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</si>
  <si>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</si>
  <si>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</si>
  <si>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</si>
  <si>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</si>
  <si>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</si>
  <si>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</si>
  <si>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</si>
  <si>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</si>
  <si>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</si>
  <si>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</si>
  <si>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</si>
  <si>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</si>
  <si>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</si>
  <si>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</si>
  <si>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</si>
  <si>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</si>
  <si>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</si>
  <si>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</si>
  <si>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</si>
  <si>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</si>
  <si>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</si>
  <si>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</si>
  <si>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</si>
  <si>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</si>
  <si>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</si>
  <si>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</si>
  <si>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</si>
  <si>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</si>
  <si>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</si>
  <si>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</si>
  <si>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</si>
  <si>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</si>
  <si>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</si>
  <si>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</si>
  <si>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</si>
  <si>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</si>
  <si>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</si>
  <si>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</si>
  <si>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</si>
  <si>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</si>
  <si>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</si>
  <si>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</si>
  <si>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</si>
  <si>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</si>
  <si>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</si>
  <si>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</si>
  <si>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</si>
  <si>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</si>
  <si>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</si>
  <si>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</si>
  <si>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</si>
  <si>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</si>
  <si>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</si>
  <si>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</si>
  <si>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</si>
  <si>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</si>
  <si>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</si>
  <si>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</si>
  <si>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</si>
  <si>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</si>
  <si>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</si>
  <si>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</si>
  <si>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</si>
  <si>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</si>
  <si>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</si>
  <si>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</si>
  <si>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</si>
  <si>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</si>
  <si>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</si>
  <si>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</si>
  <si>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</si>
  <si>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</si>
  <si>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</si>
  <si>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</si>
  <si>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</si>
  <si>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</si>
  <si>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</si>
  <si>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</si>
  <si>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</si>
  <si>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</si>
  <si>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</si>
  <si>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</si>
  <si>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</si>
  <si>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</si>
  <si>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</si>
  <si>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</si>
  <si>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</si>
  <si>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</si>
  <si>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</si>
  <si>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</si>
  <si>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</si>
  <si>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</si>
  <si>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</si>
  <si>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</si>
  <si>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</si>
  <si>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</si>
  <si>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</si>
  <si>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</si>
  <si>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</si>
  <si>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</si>
  <si>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</si>
  <si>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</si>
  <si>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</si>
  <si>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</si>
  <si>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</si>
  <si>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</si>
  <si>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</si>
  <si>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</si>
  <si>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</si>
  <si>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</si>
  <si>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</si>
  <si>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</si>
  <si>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</si>
  <si>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</si>
  <si>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</si>
  <si>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</si>
  <si>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</si>
  <si>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</si>
  <si>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</si>
  <si>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</si>
  <si>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</si>
  <si>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</si>
  <si>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</si>
  <si>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</si>
  <si>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</si>
  <si>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</si>
  <si>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</si>
  <si>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</si>
  <si>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</si>
  <si>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</si>
  <si>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</si>
  <si>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</si>
  <si>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</si>
  <si>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</si>
  <si>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</si>
  <si>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</si>
  <si>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</si>
  <si>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</si>
  <si>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</si>
  <si>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</si>
  <si>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</si>
  <si>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</si>
  <si>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</si>
  <si>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</si>
  <si>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</si>
  <si>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</si>
  <si>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</si>
  <si>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</si>
  <si>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</si>
  <si>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</si>
  <si>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</si>
  <si>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</si>
  <si>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</si>
  <si>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</si>
  <si>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</si>
  <si>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</si>
  <si>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</si>
  <si>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</si>
  <si>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</si>
  <si>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</si>
  <si>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</si>
  <si>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</si>
  <si>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</si>
  <si>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</si>
  <si>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</si>
  <si>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</si>
  <si>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</si>
  <si>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</si>
  <si>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</si>
  <si>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</si>
  <si>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</si>
  <si>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</si>
  <si>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</si>
  <si>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</si>
  <si>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</si>
  <si>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</si>
  <si>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</si>
  <si>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</si>
  <si>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</si>
  <si>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</si>
  <si>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</si>
  <si>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</si>
  <si>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</si>
  <si>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</si>
  <si>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</si>
  <si>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</si>
  <si>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</si>
  <si>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</si>
  <si>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</si>
  <si>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</si>
  <si>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</si>
  <si>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</si>
  <si>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</si>
  <si>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</si>
  <si>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</si>
  <si>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</si>
  <si>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</si>
  <si>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</si>
  <si>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</si>
  <si>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</si>
  <si>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</si>
  <si>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</si>
  <si>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</si>
  <si>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</si>
  <si>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</si>
  <si>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</si>
  <si>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</si>
  <si>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</si>
  <si>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</si>
  <si>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</si>
  <si>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</si>
  <si>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</si>
  <si>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</si>
  <si>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</si>
  <si>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</si>
  <si>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</si>
  <si>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</si>
  <si>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</si>
  <si>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</si>
  <si>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</si>
  <si>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</si>
  <si>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</si>
  <si>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</si>
  <si>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</si>
  <si>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</si>
  <si>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</si>
  <si>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</si>
  <si>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</si>
  <si>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</si>
  <si>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</si>
  <si>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</si>
  <si>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</si>
  <si>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</si>
  <si>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</si>
  <si>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</si>
  <si>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</si>
  <si>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</si>
  <si>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</si>
  <si>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</si>
  <si>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</si>
  <si>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</si>
  <si>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</si>
  <si>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</si>
  <si>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</si>
  <si>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</si>
  <si>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</si>
  <si>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</si>
  <si>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</si>
  <si>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</si>
  <si>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</si>
  <si>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</si>
  <si>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</si>
  <si>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</si>
  <si>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</si>
  <si>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</si>
  <si>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</si>
  <si>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</si>
  <si>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</si>
  <si>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</si>
  <si>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</si>
  <si>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</si>
  <si>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</si>
  <si>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</si>
  <si>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</si>
  <si>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</si>
  <si>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</si>
  <si>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</si>
  <si>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</si>
  <si>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</si>
  <si>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</si>
  <si>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</si>
  <si>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</si>
  <si>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</si>
  <si>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</si>
  <si>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</si>
  <si>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</si>
  <si>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</si>
  <si>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</si>
  <si>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</si>
  <si>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</si>
  <si>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</si>
  <si>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</si>
  <si>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</si>
  <si>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</si>
  <si>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</si>
  <si>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</si>
  <si>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</si>
  <si>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</si>
  <si>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</si>
  <si>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</si>
  <si>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</si>
  <si>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</si>
  <si>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</si>
  <si>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</si>
  <si>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</si>
  <si>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</si>
  <si>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</si>
  <si>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</si>
  <si>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</si>
  <si>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</si>
  <si>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</si>
  <si>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</si>
  <si>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</si>
  <si>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</si>
  <si>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</si>
  <si>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</si>
  <si>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</si>
  <si>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</si>
  <si>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</si>
  <si>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</si>
  <si>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</si>
  <si>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</si>
  <si>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</si>
  <si>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</si>
  <si>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</si>
  <si>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</si>
  <si>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</si>
  <si>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</si>
  <si>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</si>
  <si>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</si>
  <si>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</si>
  <si>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</si>
  <si>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</si>
  <si>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</si>
  <si>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</si>
  <si>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</si>
  <si>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</si>
  <si>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</si>
  <si>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</si>
  <si>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</si>
  <si>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</si>
  <si>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</si>
  <si>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</si>
  <si>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</si>
  <si>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</si>
  <si>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</si>
  <si>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</si>
  <si>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</si>
  <si>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</si>
  <si>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</si>
  <si>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</si>
  <si>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</si>
  <si>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</si>
  <si>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</si>
  <si>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</si>
  <si>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</si>
  <si>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</si>
  <si>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</si>
  <si>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</si>
  <si>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</si>
  <si>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</si>
  <si>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</si>
  <si>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</si>
  <si>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</si>
  <si>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</si>
  <si>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</si>
  <si>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</si>
  <si>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</si>
  <si>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</si>
  <si>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</si>
  <si>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</si>
  <si>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</si>
  <si>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</si>
  <si>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</si>
  <si>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</si>
  <si>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</si>
  <si>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</si>
  <si>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</si>
  <si>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</si>
  <si>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</si>
  <si>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</si>
  <si>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</si>
  <si>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</si>
  <si>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</si>
  <si>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</si>
  <si>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</si>
  <si>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</si>
  <si>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</si>
  <si>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</si>
  <si>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</si>
  <si>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</si>
  <si>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</si>
  <si>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</si>
  <si>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</si>
  <si>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</si>
  <si>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</si>
  <si>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</si>
  <si>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</si>
  <si>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</si>
  <si>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</si>
  <si>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</si>
  <si>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</si>
  <si>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</si>
  <si>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</si>
  <si>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</si>
  <si>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</si>
  <si>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</si>
  <si>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</si>
  <si>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</si>
  <si>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</si>
  <si>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</si>
  <si>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</si>
  <si>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</si>
  <si>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</si>
  <si>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</si>
  <si>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</si>
  <si>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</si>
  <si>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</si>
  <si>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</si>
  <si>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</si>
  <si>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</si>
  <si>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</si>
  <si>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</si>
  <si>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</si>
  <si>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</si>
  <si>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</si>
  <si>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</si>
  <si>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</si>
  <si>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</si>
  <si>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</si>
  <si>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</si>
  <si>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</si>
  <si>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</si>
  <si>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</si>
  <si>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</si>
  <si>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</si>
  <si>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</si>
  <si>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</si>
  <si>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</si>
  <si>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</si>
  <si>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</si>
  <si>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</si>
  <si>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</si>
  <si>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</si>
  <si>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</si>
  <si>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</si>
  <si>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</si>
  <si>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</si>
  <si>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</si>
  <si>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</si>
  <si>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</si>
  <si>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</si>
  <si>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</si>
  <si>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</si>
  <si>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</si>
  <si>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</si>
  <si>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</si>
  <si>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</si>
  <si>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</si>
  <si>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</si>
  <si>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</si>
  <si>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</si>
  <si>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</si>
  <si>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</si>
  <si>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</si>
  <si>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</si>
  <si>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</si>
  <si>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</si>
  <si>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</si>
  <si>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</si>
  <si>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</si>
  <si>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</si>
  <si>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</si>
  <si>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</si>
  <si>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</si>
  <si>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</si>
  <si>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</si>
  <si>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</si>
  <si>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</si>
  <si>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</si>
  <si>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</si>
  <si>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</si>
  <si>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</si>
  <si>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</si>
  <si>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</si>
  <si>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</si>
  <si>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</si>
  <si>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</si>
  <si>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</si>
  <si>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</si>
  <si>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</si>
  <si>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</si>
  <si>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</si>
  <si>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</si>
  <si>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</si>
  <si>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</si>
  <si>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</si>
  <si>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</si>
  <si>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</si>
  <si>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</si>
  <si>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</si>
  <si>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</si>
  <si>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</si>
  <si>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</si>
  <si>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</si>
  <si>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</si>
  <si>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</si>
  <si>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</si>
  <si>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</si>
  <si>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</si>
  <si>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</si>
  <si>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</si>
  <si>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</si>
  <si>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</si>
  <si>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</si>
  <si>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</si>
  <si>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</si>
  <si>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</si>
  <si>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</si>
  <si>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</si>
  <si>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</si>
  <si>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</si>
  <si>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</si>
  <si>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</si>
  <si>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</si>
  <si>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</si>
  <si>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</si>
  <si>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</si>
  <si>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</si>
  <si>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</si>
  <si>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</si>
  <si>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</si>
  <si>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</si>
  <si>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</si>
  <si>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</si>
  <si>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</si>
  <si>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</si>
  <si>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</si>
  <si>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</si>
  <si>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</si>
  <si>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</si>
  <si>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</si>
  <si>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</si>
  <si>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</si>
  <si>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</si>
  <si>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</si>
  <si>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</si>
  <si>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</si>
  <si>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</si>
  <si>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</si>
  <si>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</si>
  <si>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</si>
  <si>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</si>
  <si>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</si>
  <si>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</si>
  <si>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</si>
  <si>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</si>
  <si>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</si>
  <si>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</si>
  <si>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</si>
  <si>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</si>
  <si>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</si>
  <si>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</si>
  <si>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</si>
  <si>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</si>
  <si>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</si>
  <si>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</si>
  <si>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</si>
  <si>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</si>
  <si>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</si>
  <si>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</si>
  <si>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</si>
  <si>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</si>
  <si>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</si>
  <si>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</si>
  <si>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</si>
  <si>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</si>
  <si>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</si>
  <si>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</si>
  <si>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</si>
  <si>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</si>
  <si>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</si>
  <si>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</si>
  <si>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</si>
  <si>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</si>
  <si>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</si>
  <si>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</si>
  <si>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</si>
  <si>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</si>
  <si>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</si>
  <si>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</si>
  <si>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</si>
  <si>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</si>
  <si>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</si>
  <si>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</si>
  <si>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</si>
  <si>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</si>
  <si>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</si>
  <si>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</si>
  <si>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</si>
  <si>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</si>
  <si>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</si>
  <si>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</si>
  <si>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</si>
  <si>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</si>
  <si>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</si>
  <si>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</si>
  <si>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</si>
  <si>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</si>
  <si>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</si>
  <si>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</si>
  <si>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</si>
  <si>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</si>
  <si>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</si>
  <si>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</si>
  <si>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</si>
  <si>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</si>
  <si>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</si>
  <si>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</si>
  <si>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</si>
  <si>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</si>
  <si>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</si>
  <si>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</si>
  <si>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</si>
  <si>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</si>
  <si>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</si>
  <si>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</si>
  <si>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</si>
  <si>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</si>
  <si>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</si>
  <si>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</si>
  <si>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</si>
  <si>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</si>
  <si>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</si>
  <si>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</si>
  <si>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</si>
  <si>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</si>
  <si>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</si>
  <si>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</si>
  <si>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</si>
  <si>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</si>
  <si>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</si>
  <si>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</si>
  <si>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</si>
  <si>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</si>
  <si>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</si>
  <si>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</si>
  <si>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</si>
  <si>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</si>
  <si>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</si>
  <si>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</si>
  <si>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</si>
  <si>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</si>
  <si>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</si>
  <si>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</si>
  <si>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</si>
  <si>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</si>
  <si>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</si>
  <si>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</si>
  <si>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</si>
  <si>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</si>
  <si>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</si>
  <si>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</si>
  <si>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</si>
  <si>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</si>
  <si>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</si>
  <si>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</si>
  <si>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</si>
  <si>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</si>
  <si>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</si>
  <si>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</si>
  <si>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</si>
  <si>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</si>
  <si>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</si>
  <si>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</si>
  <si>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</si>
  <si>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</si>
  <si>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</si>
  <si>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</si>
  <si>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</si>
  <si>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</si>
  <si>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</si>
  <si>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</si>
  <si>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</si>
  <si>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</si>
  <si>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</si>
  <si>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</si>
  <si>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</si>
  <si>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</si>
  <si>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</si>
  <si>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</si>
  <si>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</si>
  <si>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</si>
  <si>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</si>
  <si>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</si>
  <si>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</si>
  <si>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</si>
  <si>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</si>
  <si>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</si>
  <si>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</si>
  <si>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</si>
  <si>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</si>
  <si>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</si>
  <si>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</si>
  <si>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</si>
  <si>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</si>
  <si>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</si>
  <si>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</si>
  <si>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</si>
  <si>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</si>
  <si>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</si>
  <si>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</si>
  <si>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</si>
  <si>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</si>
  <si>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</si>
  <si>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</si>
  <si>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</si>
  <si>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</si>
  <si>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</si>
  <si>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</si>
  <si>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</si>
  <si>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</si>
  <si>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</si>
  <si>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</si>
  <si>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</si>
  <si>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</si>
  <si>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</si>
  <si>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</si>
  <si>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</si>
  <si>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</si>
  <si>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</si>
  <si>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</si>
  <si>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</si>
  <si>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</si>
  <si>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</si>
  <si>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</si>
  <si>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</si>
  <si>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</si>
  <si>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</si>
  <si>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</si>
  <si>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</si>
  <si>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</si>
  <si>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</si>
  <si>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</si>
  <si>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</si>
  <si>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</si>
  <si>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</si>
  <si>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</si>
  <si>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</si>
  <si>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</si>
  <si>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</si>
  <si>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</si>
  <si>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</si>
  <si>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</si>
  <si>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</si>
  <si>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</si>
  <si>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</si>
  <si>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</si>
  <si>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</si>
  <si>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</si>
  <si>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</si>
  <si>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</si>
  <si>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</si>
  <si>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</si>
  <si>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</si>
  <si>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</si>
  <si>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</si>
  <si>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</si>
  <si>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</si>
  <si>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</si>
  <si>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</si>
  <si>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</si>
  <si>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</si>
  <si>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</si>
  <si>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</si>
  <si>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</si>
  <si>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</si>
  <si>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</si>
  <si>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</si>
  <si>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</si>
  <si>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</si>
  <si>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</si>
  <si>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</si>
  <si>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</si>
  <si>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</si>
  <si>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</si>
  <si>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</si>
  <si>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</si>
  <si>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</si>
  <si>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</si>
  <si>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</si>
  <si>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</si>
  <si>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</si>
  <si>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</si>
  <si>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</si>
  <si>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</si>
  <si>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</si>
  <si>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</si>
  <si>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</si>
  <si>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</si>
  <si>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</si>
  <si>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</si>
  <si>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</si>
  <si>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</si>
  <si>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</si>
  <si>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</si>
  <si>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</si>
  <si>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</si>
  <si>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</si>
  <si>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</si>
  <si>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</si>
  <si>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</si>
  <si>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</si>
  <si>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</si>
  <si>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</si>
  <si>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</si>
  <si>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</si>
  <si>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</si>
  <si>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</si>
  <si>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</si>
  <si>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</si>
  <si>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</si>
  <si>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</si>
  <si>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</si>
  <si>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</si>
  <si>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</si>
  <si>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</si>
  <si>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</si>
  <si>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</si>
  <si>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</si>
  <si>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</si>
  <si>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</si>
  <si>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</si>
  <si>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</si>
  <si>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</si>
  <si>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</si>
  <si>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</si>
  <si>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</si>
  <si>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</si>
  <si>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</si>
  <si>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</si>
  <si>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</si>
  <si>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</si>
  <si>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</si>
  <si>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</si>
  <si>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</si>
  <si>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</si>
  <si>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</si>
  <si>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</si>
  <si>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</si>
  <si>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</si>
  <si>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</si>
  <si>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</si>
  <si>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</si>
  <si>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</si>
  <si>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</si>
  <si>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</si>
  <si>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</si>
  <si>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</si>
  <si>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</si>
  <si>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</si>
  <si>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</si>
  <si>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</si>
  <si>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</si>
  <si>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</si>
  <si>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</si>
  <si>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</si>
  <si>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</si>
  <si>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</si>
  <si>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</si>
  <si>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</si>
  <si>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</si>
  <si>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</si>
  <si>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</si>
  <si>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</si>
  <si>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</si>
  <si>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</si>
  <si>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</si>
  <si>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</si>
  <si>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</si>
  <si>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</si>
  <si>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</si>
  <si>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</si>
  <si>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</si>
  <si>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</si>
  <si>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</si>
  <si>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</si>
  <si>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</si>
  <si>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</si>
  <si>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</si>
  <si>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</si>
  <si>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</si>
  <si>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</si>
  <si>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</si>
  <si>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</si>
  <si>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</si>
  <si>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</si>
  <si>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</si>
  <si>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</si>
  <si>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</si>
  <si>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</si>
  <si>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</si>
  <si>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</si>
  <si>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</si>
  <si>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</si>
  <si>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</si>
  <si>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</si>
  <si>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</si>
  <si>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</si>
  <si>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</si>
  <si>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</si>
  <si>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</si>
  <si>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</si>
  <si>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</si>
  <si>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</si>
  <si>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</si>
  <si>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</si>
  <si>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</si>
  <si>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</si>
  <si>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</si>
  <si>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</si>
  <si>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</si>
  <si>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</si>
  <si>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</si>
  <si>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</si>
  <si>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</si>
  <si>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</si>
  <si>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</si>
  <si>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</si>
  <si>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</si>
  <si>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</si>
  <si>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</si>
  <si>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</si>
  <si>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</si>
  <si>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</si>
  <si>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</si>
  <si>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</si>
  <si>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</si>
  <si>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</si>
  <si>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</si>
  <si>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</si>
  <si>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</si>
  <si>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</si>
  <si>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</si>
  <si>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</si>
  <si>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</si>
  <si>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</si>
  <si>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</si>
  <si>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</si>
  <si>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</si>
  <si>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</si>
  <si>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</si>
  <si>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</si>
  <si>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</si>
  <si>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</si>
  <si>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</si>
  <si>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</si>
  <si>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</si>
  <si>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</si>
  <si>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</si>
  <si>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</si>
  <si>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</si>
  <si>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</si>
  <si>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</si>
  <si>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</si>
  <si>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</si>
  <si>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</si>
  <si>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</si>
  <si>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</si>
  <si>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</si>
  <si>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</si>
  <si>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</si>
  <si>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</si>
  <si>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</si>
  <si>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</si>
  <si>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</si>
  <si>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</si>
  <si>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</si>
  <si>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</si>
  <si>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</si>
  <si>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</si>
  <si>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</si>
  <si>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</si>
  <si>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</si>
  <si>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</si>
  <si>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</si>
  <si>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</si>
  <si>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</si>
  <si>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</si>
  <si>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</si>
  <si>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</si>
  <si>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</si>
  <si>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</si>
  <si>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</si>
  <si>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</si>
  <si>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</si>
  <si>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</si>
  <si>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</si>
  <si>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</si>
  <si>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</si>
  <si>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</si>
  <si>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</si>
  <si>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</si>
  <si>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</si>
  <si>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</si>
  <si>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</si>
  <si>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</si>
  <si>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</si>
  <si>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</si>
  <si>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</si>
  <si>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</si>
  <si>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</si>
  <si>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</si>
  <si>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</si>
  <si>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</si>
  <si>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</si>
  <si>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</si>
  <si>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</si>
  <si>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</si>
  <si>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</si>
  <si>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</si>
  <si>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</si>
  <si>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</si>
  <si>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</si>
  <si>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</si>
  <si>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</si>
  <si>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</si>
  <si>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</si>
  <si>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</si>
  <si>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</si>
  <si>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</si>
  <si>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</si>
  <si>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</si>
  <si>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</si>
  <si>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</si>
  <si>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</si>
  <si>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</si>
  <si>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</si>
  <si>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</si>
  <si>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</si>
  <si>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</si>
  <si>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</si>
  <si>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</si>
  <si>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</si>
  <si>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</si>
  <si>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</si>
  <si>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</si>
  <si>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</si>
  <si>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</si>
  <si>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</si>
  <si>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</si>
  <si>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</si>
  <si>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</si>
  <si>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</si>
  <si>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</si>
  <si>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</si>
  <si>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</si>
  <si>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</si>
  <si>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</si>
  <si>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</si>
  <si>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</si>
  <si>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</si>
  <si>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</si>
  <si>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</si>
  <si>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</si>
  <si>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</si>
  <si>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</si>
  <si>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</si>
  <si>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</si>
  <si>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</si>
  <si>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</si>
  <si>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</si>
  <si>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</si>
  <si>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</si>
  <si>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</si>
  <si>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</si>
  <si>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</si>
  <si>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</si>
  <si>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</si>
  <si>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</si>
  <si>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</si>
  <si>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</si>
  <si>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</si>
  <si>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</si>
  <si>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</si>
  <si>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</si>
  <si>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</si>
  <si>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</si>
  <si>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</si>
  <si>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</si>
  <si>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</si>
  <si>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</si>
  <si>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</si>
  <si>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</si>
  <si>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</si>
  <si>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</si>
  <si>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</si>
  <si>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</si>
  <si>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</si>
  <si>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</si>
  <si>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</si>
  <si>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</si>
  <si>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</si>
  <si>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</si>
  <si>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</si>
  <si>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</si>
  <si>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</si>
  <si>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</si>
  <si>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</si>
  <si>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</si>
  <si>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</si>
  <si>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</si>
  <si>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</si>
  <si>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</si>
  <si>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</si>
  <si>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</si>
  <si>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</si>
  <si>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</si>
  <si>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</si>
  <si>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</si>
  <si>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</si>
  <si>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</si>
  <si>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</si>
  <si>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</si>
  <si>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</si>
  <si>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</si>
  <si>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</si>
  <si>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</si>
  <si>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</si>
  <si>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</si>
  <si>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</si>
  <si>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</si>
  <si>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</si>
  <si>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</si>
  <si>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</si>
  <si>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</si>
  <si>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</si>
  <si>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</si>
  <si>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</si>
  <si>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</si>
  <si>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</si>
  <si>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</si>
  <si>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</si>
  <si>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</si>
  <si>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</si>
  <si>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</si>
  <si>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</si>
  <si>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</si>
  <si>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</si>
  <si>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</si>
  <si>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</si>
  <si>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</si>
  <si>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</si>
  <si>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</si>
  <si>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</si>
  <si>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</si>
  <si>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</si>
  <si>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</si>
  <si>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</si>
  <si>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</si>
  <si>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</si>
  <si>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</si>
  <si>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</si>
  <si>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</si>
  <si>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</si>
  <si>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</si>
  <si>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</si>
  <si>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</si>
  <si>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</si>
  <si>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</si>
  <si>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</si>
  <si>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</si>
  <si>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</si>
  <si>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</si>
  <si>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</si>
  <si>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</si>
  <si>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</si>
  <si>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</si>
  <si>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</si>
  <si>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</si>
  <si>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</si>
  <si>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</si>
  <si>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</si>
  <si>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</si>
  <si>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</si>
  <si>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</si>
  <si>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</si>
  <si>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</si>
  <si>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</si>
  <si>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</si>
  <si>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</si>
  <si>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</si>
  <si>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</si>
  <si>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</si>
  <si>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</si>
  <si>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</si>
  <si>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</si>
  <si>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</si>
  <si>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</si>
  <si>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</si>
  <si>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</si>
  <si>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</si>
  <si>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</si>
  <si>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</si>
  <si>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</si>
  <si>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</si>
  <si>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</si>
  <si>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</si>
  <si>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</si>
  <si>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</si>
  <si>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</si>
  <si>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</si>
  <si>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</si>
  <si>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</si>
  <si>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</si>
  <si>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</si>
  <si>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</si>
  <si>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</si>
  <si>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</si>
  <si>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</si>
  <si>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</si>
  <si>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</si>
  <si>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</si>
  <si>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</si>
  <si>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</si>
  <si>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</si>
  <si>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</si>
  <si>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</si>
  <si>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</si>
  <si>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</si>
  <si>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</si>
  <si>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</si>
  <si>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</si>
  <si>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</si>
  <si>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</si>
  <si>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</si>
  <si>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</si>
  <si>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</si>
  <si>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</si>
  <si>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</si>
  <si>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</si>
  <si>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</si>
  <si>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</si>
  <si>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</si>
  <si>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</si>
  <si>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</si>
  <si>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</si>
  <si>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</si>
  <si>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</si>
  <si>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</si>
  <si>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</si>
  <si>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</si>
  <si>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</si>
  <si>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</si>
  <si>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</si>
  <si>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</si>
  <si>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</si>
  <si>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</si>
  <si>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</si>
  <si>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</si>
  <si>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</si>
  <si>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</si>
  <si>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</si>
  <si>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</si>
  <si>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</si>
  <si>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</si>
  <si>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</si>
  <si>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</si>
  <si>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</si>
  <si>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</si>
  <si>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</si>
  <si>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</si>
  <si>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</si>
  <si>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</si>
  <si>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</si>
  <si>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</si>
  <si>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</si>
  <si>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</si>
  <si>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</si>
  <si>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</si>
  <si>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</si>
  <si>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</si>
  <si>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</si>
  <si>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</si>
  <si>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</si>
  <si>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</si>
  <si>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</si>
  <si>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</si>
  <si>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</si>
  <si>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</si>
  <si>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</si>
  <si>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</si>
  <si>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</si>
  <si>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</si>
  <si>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</si>
  <si>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</si>
  <si>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</si>
  <si>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</si>
  <si>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</si>
  <si>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</si>
  <si>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</si>
  <si>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</si>
  <si>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</si>
  <si>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</si>
  <si>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</si>
  <si>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</si>
  <si>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</si>
  <si>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</si>
  <si>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</si>
  <si>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</si>
  <si>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</si>
  <si>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</si>
  <si>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</si>
  <si>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</si>
  <si>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</si>
  <si>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</si>
  <si>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</si>
  <si>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</si>
  <si>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</si>
  <si>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</si>
  <si>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</si>
  <si>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</si>
  <si>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</si>
  <si>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</si>
  <si>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</si>
  <si>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</si>
  <si>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</si>
  <si>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</si>
  <si>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</si>
  <si>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</si>
  <si>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</si>
  <si>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</si>
  <si>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</si>
  <si>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</si>
  <si>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</si>
  <si>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</si>
  <si>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</si>
  <si>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</si>
  <si>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</si>
  <si>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</si>
  <si>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</si>
  <si>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</si>
  <si>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</si>
  <si>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</si>
  <si>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</si>
  <si>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</si>
  <si>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</si>
  <si>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</si>
  <si>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</si>
  <si>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</si>
  <si>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</si>
  <si>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</si>
  <si>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</si>
  <si>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</si>
  <si>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</si>
  <si>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</si>
  <si>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</si>
  <si>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</si>
  <si>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</si>
  <si>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</si>
  <si>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</si>
  <si>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</si>
  <si>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</si>
  <si>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</si>
  <si>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</si>
  <si>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</si>
  <si>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</si>
  <si>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</si>
  <si>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</si>
  <si>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</si>
  <si>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</si>
  <si>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</si>
  <si>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</si>
  <si>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</si>
  <si>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</si>
  <si>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</si>
  <si>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</si>
  <si>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</si>
  <si>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</si>
  <si>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</si>
  <si>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</si>
  <si>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</si>
  <si>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</si>
  <si>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</si>
  <si>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</si>
  <si>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</si>
  <si>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</si>
  <si>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</si>
  <si>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</si>
  <si>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</si>
  <si>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</si>
  <si>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</si>
  <si>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</si>
  <si>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</si>
  <si>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</si>
  <si>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</si>
  <si>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</si>
  <si>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</si>
  <si>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</si>
  <si>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</si>
  <si>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</si>
  <si>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</si>
  <si>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</si>
  <si>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</si>
  <si>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</si>
  <si>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</si>
  <si>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</si>
  <si>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</si>
  <si>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</si>
  <si>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</si>
  <si>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</si>
  <si>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</si>
  <si>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</si>
  <si>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</si>
  <si>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</si>
  <si>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</si>
  <si>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</si>
  <si>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</si>
  <si>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</si>
  <si>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</si>
  <si>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</si>
  <si>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</si>
  <si>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</si>
  <si>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</si>
  <si>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</si>
  <si>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</si>
  <si>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</si>
  <si>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</si>
  <si>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</si>
  <si>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</si>
  <si>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</si>
  <si>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</si>
  <si>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</si>
  <si>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</si>
  <si>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</si>
  <si>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</si>
  <si>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</si>
  <si>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</si>
  <si>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</si>
  <si>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</si>
  <si>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</si>
  <si>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</si>
  <si>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</si>
  <si>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</si>
  <si>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</si>
  <si>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</si>
  <si>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</si>
  <si>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</si>
  <si>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</si>
  <si>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</si>
  <si>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</si>
  <si>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</si>
  <si>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</si>
  <si>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</si>
  <si>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</si>
  <si>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</si>
  <si>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</si>
  <si>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</si>
  <si>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</si>
  <si>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</si>
  <si>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</si>
  <si>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</si>
  <si>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</si>
  <si>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</si>
  <si>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</si>
  <si>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</si>
  <si>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</si>
  <si>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</si>
  <si>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</si>
  <si>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</si>
  <si>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</si>
  <si>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</si>
  <si>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</si>
  <si>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</si>
  <si>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</si>
  <si>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</si>
  <si>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</si>
  <si>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</si>
  <si>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</si>
  <si>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</si>
  <si>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</si>
  <si>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</si>
  <si>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</si>
  <si>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</si>
  <si>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</si>
  <si>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</si>
  <si>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</si>
  <si>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</si>
  <si>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</si>
  <si>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</si>
  <si>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</si>
  <si>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</si>
  <si>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</si>
  <si>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</si>
  <si>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</si>
  <si>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</si>
  <si>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</si>
  <si>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</si>
  <si>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</si>
  <si>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</si>
  <si>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</si>
  <si>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</si>
  <si>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</si>
  <si>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</si>
  <si>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</si>
  <si>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</si>
  <si>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</si>
  <si>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</si>
  <si>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</si>
  <si>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</si>
  <si>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</si>
  <si>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</si>
  <si>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</si>
  <si>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</si>
  <si>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</si>
  <si>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</si>
  <si>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</si>
  <si>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</si>
  <si>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</si>
  <si>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</si>
  <si>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</si>
  <si>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</si>
  <si>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</si>
  <si>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</si>
  <si>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</si>
  <si>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</si>
  <si>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</si>
  <si>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</si>
  <si>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</si>
  <si>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</si>
  <si>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</si>
  <si>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</si>
  <si>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</si>
  <si>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</si>
  <si>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</si>
  <si>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</si>
  <si>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</si>
  <si>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</si>
  <si>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</si>
  <si>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</si>
  <si>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</si>
  <si>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</si>
  <si>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</si>
  <si>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</si>
  <si>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</si>
  <si>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</si>
  <si>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</si>
  <si>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</si>
  <si>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</si>
  <si>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</si>
  <si>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</si>
  <si>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</si>
  <si>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</si>
  <si>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</si>
  <si>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</si>
  <si>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</si>
  <si>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</si>
  <si>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</si>
  <si>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</si>
  <si>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</si>
  <si>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</si>
  <si>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</si>
  <si>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</si>
  <si>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</si>
  <si>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</si>
  <si>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</si>
  <si>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</si>
  <si>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</si>
  <si>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</si>
  <si>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</si>
  <si>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</si>
  <si>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</si>
  <si>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</si>
  <si>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</si>
  <si>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</si>
  <si>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</si>
  <si>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</si>
  <si>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</si>
  <si>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</si>
  <si>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</si>
  <si>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</si>
  <si>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</si>
  <si>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</si>
  <si>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</si>
  <si>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</si>
  <si>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</si>
  <si>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</si>
  <si>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</si>
  <si>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</si>
  <si>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</si>
  <si>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</si>
  <si>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</si>
  <si>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</si>
  <si>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</si>
  <si>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</si>
  <si>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</si>
  <si>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</si>
  <si>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</si>
  <si>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</si>
  <si>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</si>
  <si>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</si>
  <si>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</si>
  <si>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</si>
  <si>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</si>
  <si>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</si>
  <si>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</si>
  <si>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</si>
  <si>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</si>
  <si>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</si>
  <si>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</si>
  <si>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</si>
  <si>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</si>
  <si>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</si>
  <si>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</si>
  <si>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</si>
  <si>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</si>
  <si>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</si>
  <si>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</si>
  <si>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</si>
  <si>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</si>
  <si>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</si>
  <si>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</si>
  <si>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</si>
  <si>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</si>
  <si>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</si>
  <si>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</si>
  <si>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</si>
  <si>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</si>
  <si>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</si>
  <si>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</si>
  <si>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</si>
  <si>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</si>
  <si>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</si>
  <si>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</si>
  <si>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</si>
  <si>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</si>
  <si>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</si>
  <si>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</si>
  <si>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</si>
  <si>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</si>
  <si>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</si>
  <si>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</si>
  <si>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</si>
  <si>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</si>
  <si>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</si>
  <si>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</si>
  <si>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</si>
  <si>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</si>
  <si>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</si>
  <si>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</si>
  <si>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</si>
  <si>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</si>
  <si>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</si>
  <si>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</si>
  <si>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</si>
  <si>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</si>
  <si>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</si>
  <si>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</si>
  <si>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</si>
  <si>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</si>
  <si>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</si>
  <si>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</si>
  <si>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</si>
  <si>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</si>
  <si>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</si>
  <si>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</si>
  <si>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</si>
  <si>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</si>
  <si>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</si>
  <si>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</si>
  <si>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</si>
  <si>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</si>
  <si>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</si>
  <si>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</si>
  <si>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</si>
  <si>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</si>
  <si>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</si>
  <si>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</si>
  <si>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</si>
  <si>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</si>
  <si>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</si>
  <si>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</si>
  <si>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</si>
  <si>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</si>
  <si>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</si>
  <si>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</si>
  <si>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</si>
  <si>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</si>
  <si>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</si>
  <si>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</si>
  <si>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</si>
  <si>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</si>
  <si>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</si>
  <si>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</si>
  <si>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</si>
  <si>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</si>
  <si>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</si>
  <si>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</si>
  <si>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</si>
  <si>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</si>
  <si>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</si>
  <si>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</si>
  <si>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</si>
  <si>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</si>
  <si>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</si>
  <si>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</si>
  <si>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</si>
  <si>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</si>
  <si>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</si>
  <si>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</si>
  <si>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</si>
  <si>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</si>
  <si>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</si>
  <si>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</si>
  <si>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</si>
  <si>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</si>
  <si>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</si>
  <si>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</si>
  <si>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</si>
  <si>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</si>
  <si>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</si>
  <si>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</si>
  <si>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</si>
  <si>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</si>
  <si>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</si>
  <si>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</si>
  <si>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</si>
  <si>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</si>
  <si>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</si>
  <si>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</si>
  <si>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</si>
  <si>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</si>
  <si>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</si>
  <si>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</si>
  <si>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</si>
  <si>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</si>
  <si>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</si>
  <si>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</si>
  <si>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</si>
  <si>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</si>
  <si>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</si>
  <si>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</si>
  <si>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</si>
  <si>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</si>
  <si>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</si>
  <si>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</si>
  <si>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</si>
  <si>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</si>
  <si>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</si>
  <si>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</si>
  <si>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</si>
  <si>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</si>
  <si>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</si>
  <si>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</si>
  <si>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</si>
  <si>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</si>
  <si>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</si>
  <si>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</si>
  <si>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</si>
  <si>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</si>
  <si>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</si>
  <si>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</si>
  <si>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</si>
  <si>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</si>
  <si>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</si>
  <si>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</si>
  <si>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</si>
  <si>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</si>
  <si>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</si>
  <si>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</si>
  <si>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</si>
  <si>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</si>
  <si>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</si>
  <si>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</si>
  <si>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</si>
  <si>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</si>
  <si>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</si>
  <si>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</si>
  <si>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</si>
  <si>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</si>
  <si>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</si>
  <si>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</si>
  <si>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</si>
  <si>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</si>
  <si>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</si>
  <si>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</si>
  <si>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</si>
  <si>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</si>
  <si>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</si>
  <si>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</si>
  <si>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</si>
  <si>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</si>
  <si>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</si>
  <si>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</si>
  <si>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</si>
  <si>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</si>
  <si>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</si>
  <si>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</si>
  <si>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</si>
  <si>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</si>
  <si>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</si>
  <si>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</si>
  <si>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</si>
  <si>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</si>
  <si>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</si>
  <si>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</si>
  <si>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</si>
  <si>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</si>
  <si>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</si>
  <si>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</si>
  <si>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</si>
  <si>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</si>
  <si>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</si>
  <si>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</si>
  <si>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</si>
  <si>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</si>
  <si>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</si>
  <si>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</si>
  <si>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</si>
  <si>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</si>
  <si>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</si>
  <si>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</si>
  <si>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</si>
  <si>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</si>
  <si>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</si>
  <si>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</si>
  <si>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</si>
  <si>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</si>
  <si>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</si>
  <si>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</si>
  <si>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</si>
  <si>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</si>
  <si>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</si>
  <si>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</si>
  <si>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</si>
  <si>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</si>
  <si>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</si>
  <si>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</si>
  <si>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</si>
  <si>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</si>
  <si>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</si>
  <si>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</si>
  <si>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</si>
  <si>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</si>
  <si>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</si>
  <si>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</si>
  <si>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</si>
  <si>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</si>
  <si>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</si>
  <si>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</si>
  <si>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</si>
  <si>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</si>
  <si>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</si>
  <si>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</si>
  <si>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</si>
  <si>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</si>
  <si>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</si>
  <si>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</si>
  <si>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</si>
  <si>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</si>
  <si>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</si>
  <si>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</si>
  <si>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</si>
  <si>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</si>
  <si>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</si>
  <si>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</si>
  <si>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</si>
  <si>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</si>
  <si>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</si>
  <si>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</si>
  <si>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</si>
  <si>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</si>
  <si>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</si>
  <si>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</si>
  <si>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</si>
  <si>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</si>
  <si>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</si>
  <si>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</si>
  <si>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</si>
  <si>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</si>
  <si>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</si>
  <si>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</si>
  <si>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</si>
  <si>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</si>
  <si>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</si>
  <si>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</si>
  <si>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</si>
  <si>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</si>
  <si>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</si>
  <si>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</si>
  <si>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</si>
  <si>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</si>
  <si>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</si>
  <si>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</si>
  <si>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</si>
  <si>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</si>
  <si>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</si>
  <si>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</si>
  <si>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</si>
  <si>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</si>
  <si>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</si>
  <si>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</si>
  <si>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</si>
  <si>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</si>
  <si>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</si>
  <si>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</si>
  <si>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</si>
  <si>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</si>
  <si>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</si>
  <si>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</si>
  <si>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</si>
  <si>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</si>
  <si>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</si>
  <si>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</si>
  <si>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</si>
  <si>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</si>
  <si>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</si>
  <si>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</si>
  <si>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</si>
  <si>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</si>
  <si>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</si>
  <si>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</si>
  <si>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</si>
  <si>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</si>
  <si>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</si>
  <si>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</si>
  <si>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</si>
  <si>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</si>
  <si>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</si>
  <si>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</si>
  <si>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</si>
  <si>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</si>
  <si>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</si>
  <si>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</si>
  <si>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</si>
  <si>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</si>
  <si>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</si>
  <si>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</si>
  <si>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</si>
  <si>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</si>
  <si>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</si>
  <si>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</si>
  <si>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</si>
  <si>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</si>
  <si>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</si>
  <si>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</si>
  <si>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</si>
  <si>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</si>
  <si>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</si>
  <si>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</si>
  <si>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</si>
  <si>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</si>
  <si>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</si>
  <si>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</si>
  <si>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</si>
  <si>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</si>
  <si>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</si>
  <si>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</si>
  <si>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</si>
  <si>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</si>
  <si>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</si>
  <si>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</si>
  <si>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</si>
  <si>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</si>
  <si>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</si>
  <si>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</si>
  <si>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</si>
  <si>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</si>
  <si>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</si>
  <si>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</si>
  <si>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</si>
  <si>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</si>
  <si>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</si>
  <si>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</si>
  <si>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</si>
  <si>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</si>
  <si>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</si>
  <si>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</si>
  <si>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</si>
  <si>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</si>
  <si>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</si>
  <si>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</si>
  <si>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</si>
  <si>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</si>
  <si>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</si>
  <si>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</si>
  <si>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</si>
  <si>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</si>
  <si>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</si>
  <si>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</si>
  <si>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</si>
  <si>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</si>
  <si>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</si>
  <si>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</si>
  <si>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</si>
  <si>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</si>
  <si>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</si>
  <si>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</si>
  <si>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</si>
  <si>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</si>
  <si>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</si>
  <si>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</si>
  <si>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</si>
  <si>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</si>
  <si>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</si>
  <si>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</si>
  <si>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</si>
  <si>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</si>
  <si>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</si>
  <si>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</si>
  <si>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</si>
  <si>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</si>
  <si>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</si>
  <si>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</si>
  <si>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</si>
  <si>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</si>
  <si>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</si>
  <si>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</si>
  <si>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</si>
  <si>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</si>
  <si>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</si>
  <si>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</si>
  <si>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</si>
  <si>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</si>
  <si>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</si>
  <si>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</si>
  <si>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</si>
  <si>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</si>
  <si>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</si>
  <si>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</si>
  <si>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</si>
  <si>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</si>
  <si>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</si>
  <si>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</si>
  <si>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</si>
  <si>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</si>
  <si>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</si>
  <si>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</si>
  <si>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</si>
  <si>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</si>
  <si>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</si>
  <si>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</si>
  <si>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</si>
  <si>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</si>
  <si>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</si>
  <si>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</si>
  <si>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</si>
  <si>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</si>
  <si>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</si>
  <si>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</si>
  <si>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</si>
  <si>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</si>
  <si>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</si>
  <si>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</si>
  <si>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</si>
  <si>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</si>
  <si>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</si>
  <si>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</si>
  <si>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</si>
  <si>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</si>
  <si>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</si>
  <si>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</si>
  <si>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</si>
  <si>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</si>
  <si>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</si>
  <si>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</si>
  <si>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</si>
  <si>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</si>
  <si>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</si>
  <si>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</si>
  <si>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</si>
  <si>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</si>
  <si>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</si>
  <si>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</si>
  <si>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</si>
  <si>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</si>
  <si>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</si>
  <si>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</si>
  <si>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</si>
  <si>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</si>
  <si>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</si>
  <si>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</si>
  <si>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</si>
  <si>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</si>
  <si>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</si>
  <si>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</si>
  <si>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</si>
  <si>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</si>
  <si>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</si>
  <si>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</si>
  <si>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</si>
  <si>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</si>
  <si>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</si>
  <si>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</si>
  <si>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</si>
  <si>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</si>
  <si>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</si>
  <si>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</si>
  <si>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</si>
  <si>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</si>
  <si>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</si>
  <si>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</si>
  <si>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</si>
  <si>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</si>
  <si>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</si>
  <si>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</si>
  <si>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</si>
  <si>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</si>
  <si>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</si>
  <si>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</si>
  <si>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</si>
  <si>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</si>
  <si>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</si>
  <si>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</si>
  <si>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</si>
  <si>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</si>
  <si>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</si>
  <si>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</si>
  <si>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</si>
  <si>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</si>
  <si>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</si>
  <si>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</si>
  <si>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</si>
  <si>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</si>
  <si>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</si>
  <si>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</si>
  <si>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</si>
  <si>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</si>
  <si>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</si>
  <si>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</si>
  <si>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</si>
  <si>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</si>
  <si>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</si>
  <si>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</si>
  <si>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</si>
  <si>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</si>
  <si>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</si>
  <si>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</si>
  <si>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</si>
  <si>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</si>
  <si>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</si>
  <si>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</si>
  <si>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</si>
  <si>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</si>
  <si>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</si>
  <si>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</si>
  <si>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</si>
  <si>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</si>
  <si>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</si>
  <si>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</si>
  <si>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</si>
  <si>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</si>
  <si>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</si>
  <si>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</si>
  <si>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</si>
  <si>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</si>
  <si>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</si>
  <si>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</si>
  <si>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</si>
  <si>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</si>
  <si>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</si>
  <si>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</si>
  <si>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</si>
  <si>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</si>
  <si>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</si>
  <si>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</si>
  <si>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</si>
  <si>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</si>
  <si>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</si>
  <si>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</si>
  <si>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</si>
  <si>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</si>
  <si>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</si>
  <si>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</si>
  <si>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</si>
  <si>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</si>
  <si>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</si>
  <si>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</si>
  <si>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</si>
  <si>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</si>
  <si>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</si>
  <si>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</si>
  <si>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</si>
  <si>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</si>
  <si>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</si>
  <si>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</si>
  <si>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</si>
  <si>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</si>
  <si>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</si>
  <si>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</si>
  <si>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</si>
  <si>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</si>
  <si>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</si>
  <si>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</si>
  <si>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</si>
  <si>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</si>
  <si>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</si>
  <si>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</si>
  <si>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</si>
  <si>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</si>
  <si>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</si>
  <si>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</si>
  <si>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</si>
  <si>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</si>
  <si>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</si>
  <si>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</si>
  <si>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</si>
  <si>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</si>
  <si>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</si>
  <si>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</si>
  <si>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</si>
  <si>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</si>
  <si>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</si>
  <si>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</si>
  <si>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</si>
  <si>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</si>
  <si>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</si>
  <si>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</si>
  <si>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</si>
  <si>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</si>
  <si>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</si>
  <si>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</si>
  <si>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</si>
  <si>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</si>
  <si>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</si>
  <si>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</si>
  <si>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</si>
  <si>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</si>
  <si>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</si>
  <si>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</si>
  <si>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</si>
  <si>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</si>
  <si>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</si>
  <si>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</si>
  <si>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</si>
  <si>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</si>
  <si>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</si>
  <si>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</si>
  <si>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</si>
  <si>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</si>
  <si>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</si>
  <si>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</si>
  <si>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</si>
  <si>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</si>
  <si>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</si>
  <si>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</si>
  <si>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</si>
  <si>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</si>
  <si>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</si>
  <si>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</si>
  <si>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</si>
  <si>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</si>
  <si>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</si>
  <si>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</si>
  <si>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</si>
  <si>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</si>
  <si>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</si>
  <si>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</si>
  <si>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</si>
  <si>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</si>
  <si>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</si>
  <si>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</si>
  <si>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</si>
  <si>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</si>
  <si>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</si>
  <si>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</si>
  <si>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</si>
  <si>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</si>
  <si>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</si>
  <si>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</si>
  <si>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</si>
  <si>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</si>
  <si>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</si>
  <si>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</si>
  <si>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</si>
  <si>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</si>
  <si>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</si>
  <si>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</si>
  <si>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</si>
  <si>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</si>
  <si>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</si>
  <si>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</si>
  <si>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</si>
  <si>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</si>
  <si>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</si>
  <si>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</si>
  <si>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</si>
  <si>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</si>
  <si>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</si>
  <si>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</si>
  <si>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</si>
  <si>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</si>
  <si>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</si>
  <si>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</si>
  <si>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</si>
  <si>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</si>
  <si>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</si>
  <si>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</si>
  <si>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</si>
  <si>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</si>
  <si>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</si>
  <si>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</si>
  <si>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</si>
  <si>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</si>
  <si>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</si>
  <si>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</si>
  <si>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</si>
  <si>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</si>
  <si>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</si>
  <si>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</si>
  <si>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</si>
  <si>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</si>
  <si>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</si>
  <si>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</si>
  <si>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</si>
  <si>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</si>
  <si>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</si>
  <si>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</si>
  <si>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</si>
  <si>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</si>
  <si>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</si>
  <si>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</si>
  <si>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</si>
  <si>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</si>
  <si>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</si>
  <si>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</si>
  <si>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</si>
  <si>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</si>
  <si>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</si>
  <si>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</si>
  <si>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</si>
  <si>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</si>
  <si>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</si>
  <si>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</si>
  <si>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</si>
  <si>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</si>
  <si>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</si>
  <si>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</si>
  <si>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</si>
  <si>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</si>
  <si>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</si>
  <si>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</si>
  <si>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</si>
  <si>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</si>
  <si>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</si>
  <si>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</si>
  <si>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</si>
  <si>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</si>
  <si>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</si>
  <si>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</si>
  <si>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</si>
  <si>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</si>
  <si>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</si>
  <si>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</si>
  <si>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</si>
  <si>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</si>
  <si>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</si>
  <si>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</si>
  <si>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</si>
  <si>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</si>
  <si>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</si>
  <si>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</si>
  <si>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</si>
  <si>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</si>
  <si>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</si>
  <si>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</si>
  <si>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</si>
  <si>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</si>
  <si>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</si>
  <si>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</si>
  <si>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</si>
  <si>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</si>
  <si>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</si>
  <si>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</si>
  <si>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</si>
  <si>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</si>
  <si>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</si>
  <si>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</si>
  <si>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</si>
  <si>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</si>
  <si>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</si>
  <si>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</si>
  <si>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</si>
  <si>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</si>
  <si>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</si>
  <si>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</si>
  <si>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</si>
  <si>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</si>
  <si>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</si>
  <si>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</si>
  <si>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</si>
  <si>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</si>
  <si>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</si>
  <si>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</si>
  <si>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</si>
  <si>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</si>
  <si>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</si>
  <si>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</si>
  <si>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</si>
  <si>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</si>
  <si>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</si>
  <si>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</si>
  <si>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</si>
  <si>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</si>
  <si>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</si>
  <si>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</si>
  <si>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</si>
  <si>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</si>
  <si>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</si>
  <si>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</si>
  <si>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</si>
  <si>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</si>
  <si>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</si>
  <si>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</si>
  <si>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</si>
  <si>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</si>
  <si>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</si>
  <si>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</si>
  <si>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</si>
  <si>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</si>
  <si>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</si>
  <si>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</si>
  <si>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</si>
  <si>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</si>
  <si>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</si>
  <si>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</si>
  <si>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</si>
  <si>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</si>
  <si>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</si>
  <si>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</si>
  <si>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</si>
  <si>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</si>
  <si>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</si>
  <si>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</si>
  <si>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</si>
  <si>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</si>
  <si>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</si>
  <si>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</si>
  <si>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</si>
  <si>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</si>
  <si>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</si>
  <si>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</si>
  <si>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</si>
  <si>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</si>
  <si>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</si>
  <si>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</si>
  <si>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</si>
  <si>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</si>
  <si>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</si>
  <si>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</si>
  <si>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</si>
  <si>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</si>
  <si>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</si>
  <si>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</si>
  <si>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</si>
  <si>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</si>
  <si>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</si>
  <si>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</si>
  <si>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</si>
  <si>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</si>
  <si>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</si>
  <si>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</si>
  <si>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</si>
  <si>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</si>
  <si>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</si>
  <si>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</si>
  <si>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</si>
  <si>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</si>
  <si>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</si>
  <si>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</si>
  <si>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</si>
  <si>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</si>
  <si>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</si>
  <si>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</si>
  <si>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</si>
  <si>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</si>
  <si>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</si>
  <si>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</si>
  <si>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</si>
  <si>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</si>
  <si>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</si>
  <si>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</si>
  <si>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</si>
  <si>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</si>
  <si>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</si>
  <si>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</si>
  <si>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</si>
  <si>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</si>
  <si>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</si>
  <si>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</si>
  <si>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</si>
  <si>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</si>
  <si>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</si>
  <si>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</si>
  <si>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</si>
  <si>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</si>
  <si>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</si>
  <si>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</si>
  <si>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</si>
  <si>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</si>
  <si>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</si>
  <si>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</si>
  <si>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</si>
  <si>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</si>
  <si>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</si>
  <si>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</si>
  <si>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</si>
  <si>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</si>
  <si>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</si>
  <si>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</si>
  <si>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</si>
  <si>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</si>
  <si>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</si>
  <si>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</si>
  <si>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</si>
  <si>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</si>
  <si>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</si>
  <si>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</si>
  <si>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</si>
  <si>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</si>
  <si>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</si>
  <si>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</si>
  <si>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</si>
  <si>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</si>
  <si>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</si>
  <si>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</si>
  <si>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</si>
  <si>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</si>
  <si>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</si>
  <si>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</si>
  <si>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</si>
  <si>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</si>
  <si>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</si>
  <si>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</si>
  <si>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</si>
  <si>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</si>
  <si>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</si>
  <si>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</si>
  <si>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</si>
  <si>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</si>
  <si>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</si>
  <si>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</si>
  <si>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</si>
  <si>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</si>
  <si>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</si>
  <si>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</si>
  <si>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</si>
  <si>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</si>
  <si>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</si>
  <si>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</si>
  <si>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</si>
  <si>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</si>
  <si>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</si>
  <si>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</si>
  <si>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</si>
  <si>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</si>
  <si>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</si>
  <si>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</si>
  <si>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</si>
  <si>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</si>
  <si>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</si>
  <si>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</si>
  <si>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</si>
  <si>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</si>
  <si>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</si>
  <si>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</si>
  <si>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</si>
  <si>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</si>
  <si>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</si>
  <si>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</si>
  <si>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</si>
  <si>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</si>
  <si>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</si>
  <si>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</si>
  <si>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</si>
  <si>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</si>
  <si>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</si>
  <si>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</si>
  <si>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</si>
  <si>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</si>
  <si>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</si>
  <si>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</si>
  <si>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</si>
  <si>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</si>
  <si>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</si>
  <si>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</si>
  <si>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</si>
  <si>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</si>
  <si>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</si>
  <si>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</si>
  <si>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</si>
  <si>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</si>
  <si>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</si>
  <si>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</si>
  <si>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</si>
  <si>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</si>
  <si>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</si>
  <si>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</si>
  <si>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</si>
  <si>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</si>
  <si>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</si>
  <si>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</si>
  <si>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</si>
  <si>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</si>
  <si>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</si>
  <si>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</si>
  <si>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</si>
  <si>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</si>
  <si>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</si>
  <si>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</si>
  <si>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</si>
  <si>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</si>
  <si>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</si>
  <si>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</si>
  <si>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</si>
  <si>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</si>
  <si>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</si>
  <si>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</si>
  <si>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</si>
  <si>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</si>
  <si>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</si>
  <si>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</si>
  <si>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</si>
  <si>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</si>
  <si>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</si>
  <si>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</si>
  <si>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</si>
  <si>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</si>
  <si>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</si>
  <si>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</si>
  <si>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</si>
  <si>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</si>
  <si>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</si>
  <si>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</si>
  <si>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</si>
  <si>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</si>
  <si>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</si>
  <si>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</si>
  <si>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</si>
  <si>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</si>
  <si>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</si>
  <si>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</si>
  <si>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</si>
  <si>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</si>
  <si>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</si>
  <si>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</si>
  <si>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</si>
  <si>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</si>
  <si>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</si>
  <si>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</si>
  <si>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</si>
  <si>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</si>
  <si>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</si>
  <si>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</si>
  <si>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</si>
  <si>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</si>
  <si>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</si>
  <si>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</si>
  <si>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</si>
  <si>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</si>
  <si>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</si>
  <si>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</si>
  <si>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</si>
  <si>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</si>
  <si>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</si>
  <si>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</si>
  <si>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</si>
  <si>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</si>
  <si>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</si>
  <si>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</si>
  <si>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</si>
  <si>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</si>
  <si>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</si>
  <si>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</si>
  <si>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</si>
  <si>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</si>
  <si>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</si>
  <si>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</si>
  <si>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</si>
  <si>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</si>
  <si>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</si>
  <si>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</si>
  <si>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</si>
  <si>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</si>
  <si>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</si>
  <si>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</si>
  <si>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</si>
  <si>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</si>
  <si>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</si>
  <si>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</si>
  <si>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</si>
  <si>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</si>
  <si>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</si>
  <si>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</si>
  <si>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</si>
  <si>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</si>
  <si>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</si>
  <si>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</si>
  <si>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</si>
  <si>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</si>
  <si>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</si>
  <si>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</si>
  <si>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</si>
  <si>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</si>
  <si>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</si>
  <si>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</si>
  <si>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</si>
  <si>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</si>
  <si>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</si>
  <si>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</si>
  <si>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</si>
  <si>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</si>
  <si>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</si>
  <si>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</si>
  <si>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</si>
  <si>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</si>
  <si>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</si>
  <si>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</si>
  <si>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</si>
  <si>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</si>
  <si>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</si>
  <si>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</si>
  <si>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</si>
  <si>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</si>
  <si>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</si>
  <si>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</si>
  <si>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</si>
  <si>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</si>
  <si>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</si>
  <si>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</si>
  <si>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</si>
  <si>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</si>
  <si>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</si>
  <si>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</si>
  <si>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</si>
  <si>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</si>
  <si>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</si>
  <si>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</si>
  <si>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</si>
  <si>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</si>
  <si>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</si>
  <si>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</si>
  <si>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</si>
  <si>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</si>
  <si>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</si>
  <si>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</si>
  <si>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</si>
  <si>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</si>
  <si>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</si>
  <si>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</si>
  <si>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</si>
  <si>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</si>
  <si>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</si>
  <si>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</si>
  <si>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</si>
  <si>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</si>
  <si>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</si>
  <si>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</si>
  <si>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</si>
  <si>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</si>
  <si>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</si>
  <si>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</si>
  <si>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</si>
  <si>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</si>
  <si>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</si>
  <si>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</si>
  <si>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</si>
  <si>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</si>
  <si>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</si>
  <si>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</si>
  <si>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</si>
  <si>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</si>
  <si>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</si>
  <si>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</si>
  <si>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</si>
  <si>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</si>
  <si>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</si>
  <si>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</si>
  <si>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</si>
  <si>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</si>
  <si>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</si>
  <si>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</si>
  <si>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</si>
  <si>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</si>
  <si>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</si>
  <si>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</si>
  <si>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</si>
  <si>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</si>
  <si>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</si>
  <si>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</si>
  <si>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</si>
  <si>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</si>
  <si>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</si>
  <si>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</si>
  <si>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</si>
  <si>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</si>
  <si>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</si>
  <si>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</si>
  <si>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</si>
  <si>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</si>
  <si>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</si>
  <si>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</si>
  <si>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</si>
  <si>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</si>
  <si>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</si>
  <si>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</si>
  <si>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</si>
  <si>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</si>
  <si>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</si>
  <si>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</si>
  <si>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</si>
  <si>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</si>
  <si>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</si>
  <si>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</si>
  <si>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</si>
  <si>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</si>
  <si>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</si>
  <si>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</si>
  <si>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</si>
  <si>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</si>
  <si>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</si>
  <si>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</si>
  <si>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</si>
  <si>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</si>
  <si>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</si>
  <si>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</si>
  <si>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</si>
  <si>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</si>
  <si>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</si>
  <si>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</si>
  <si>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</si>
  <si>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</si>
  <si>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</si>
  <si>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</si>
  <si>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</si>
  <si>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</si>
  <si>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</si>
  <si>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</si>
  <si>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</si>
  <si>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</si>
  <si>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</si>
  <si>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</si>
  <si>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</si>
  <si>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</si>
  <si>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</si>
  <si>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</si>
  <si>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</si>
  <si>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</si>
  <si>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</si>
  <si>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</si>
  <si>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</si>
  <si>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</si>
  <si>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</si>
  <si>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</si>
  <si>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</si>
  <si>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</si>
  <si>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</si>
  <si>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</si>
  <si>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</si>
  <si>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</si>
  <si>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</si>
  <si>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</si>
  <si>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</si>
  <si>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</si>
  <si>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</si>
  <si>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</si>
  <si>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</si>
  <si>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</si>
  <si>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</si>
  <si>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</si>
  <si>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</si>
  <si>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</si>
  <si>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</si>
  <si>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</si>
  <si>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</si>
  <si>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</si>
  <si>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</si>
  <si>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</si>
  <si>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</si>
  <si>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</si>
  <si>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</si>
  <si>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</si>
  <si>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</si>
  <si>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</si>
  <si>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</si>
  <si>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</si>
  <si>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</si>
  <si>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</si>
  <si>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</si>
  <si>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</si>
  <si>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</si>
  <si>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</si>
  <si>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</si>
  <si>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</si>
  <si>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</si>
  <si>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</si>
  <si>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</si>
  <si>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</si>
  <si>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</si>
  <si>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</si>
  <si>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</si>
  <si>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</si>
  <si>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</si>
  <si>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</si>
  <si>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</si>
  <si>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</si>
  <si>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</si>
  <si>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</si>
  <si>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</si>
  <si>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</si>
  <si>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</si>
  <si>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</si>
  <si>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</si>
  <si>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</si>
  <si>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</si>
  <si>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</si>
  <si>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</si>
  <si>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</si>
  <si>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</si>
  <si>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</si>
  <si>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</si>
  <si>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</si>
  <si>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</si>
  <si>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</si>
  <si>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</si>
  <si>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</si>
  <si>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</si>
  <si>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</si>
  <si>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</si>
  <si>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</si>
  <si>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</si>
  <si>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</si>
  <si>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</si>
  <si>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</si>
  <si>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</si>
  <si>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</si>
  <si>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</si>
  <si>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</si>
  <si>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</si>
  <si>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</si>
  <si>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</si>
  <si>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</si>
  <si>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</si>
  <si>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</si>
  <si>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</si>
  <si>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</si>
  <si>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</si>
  <si>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</si>
  <si>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</si>
  <si>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</si>
  <si>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</si>
  <si>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</si>
  <si>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</si>
  <si>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</si>
  <si>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</si>
  <si>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</si>
  <si>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</si>
  <si>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</si>
  <si>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</si>
  <si>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</si>
  <si>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</si>
  <si>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</si>
  <si>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</si>
  <si>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</si>
  <si>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</si>
  <si>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</si>
  <si>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</si>
  <si>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</si>
  <si>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</si>
  <si>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</si>
  <si>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</si>
  <si>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</si>
  <si>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</si>
  <si>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</si>
  <si>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</si>
  <si>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</si>
  <si>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</si>
  <si>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</si>
  <si>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</si>
  <si>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</si>
  <si>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</si>
  <si>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</si>
  <si>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</si>
  <si>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</si>
  <si>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</si>
  <si>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</si>
  <si>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</si>
  <si>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</si>
  <si>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</si>
  <si>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</si>
  <si>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</si>
  <si>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</si>
  <si>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</si>
  <si>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</si>
  <si>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</si>
  <si>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</si>
  <si>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</si>
  <si>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</si>
  <si>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</si>
  <si>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</si>
  <si>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</si>
  <si>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</si>
  <si>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</si>
  <si>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</si>
  <si>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</si>
  <si>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</si>
  <si>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</si>
  <si>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</si>
  <si>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</si>
  <si>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</si>
  <si>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</si>
  <si>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</si>
  <si>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</si>
  <si>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</si>
  <si>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</si>
  <si>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</si>
  <si>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</si>
  <si>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</si>
  <si>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</si>
  <si>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</si>
  <si>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</si>
  <si>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</si>
  <si>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</si>
  <si>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</si>
  <si>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</si>
  <si>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</si>
  <si>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</si>
  <si>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</si>
  <si>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</si>
  <si>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</si>
  <si>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</si>
  <si>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</si>
  <si>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</si>
  <si>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</si>
  <si>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</si>
  <si>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</si>
  <si>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</si>
  <si>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</si>
  <si>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</si>
  <si>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</si>
  <si>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</si>
  <si>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</si>
  <si>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</si>
  <si>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</si>
  <si>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</si>
  <si>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</si>
  <si>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</si>
  <si>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</si>
  <si>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</si>
  <si>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</si>
  <si>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</si>
  <si>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</si>
  <si>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</si>
  <si>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</si>
  <si>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</si>
  <si>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</si>
  <si>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</si>
  <si>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</si>
  <si>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</si>
  <si>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</si>
  <si>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</si>
  <si>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</si>
  <si>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</si>
  <si>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</si>
  <si>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</si>
  <si>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</si>
  <si>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</si>
  <si>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</si>
  <si>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</si>
  <si>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</si>
  <si>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</si>
  <si>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</si>
  <si>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</si>
  <si>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</si>
  <si>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</si>
  <si>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</si>
  <si>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</si>
  <si>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</si>
  <si>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</si>
  <si>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</si>
  <si>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</si>
  <si>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</si>
  <si>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</si>
  <si>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</si>
  <si>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</si>
  <si>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</si>
  <si>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</si>
  <si>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</si>
  <si>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</si>
  <si>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</si>
  <si>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</si>
  <si>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</si>
  <si>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</si>
  <si>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</si>
  <si>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</si>
  <si>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</si>
  <si>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</si>
  <si>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</si>
  <si>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</si>
  <si>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</si>
  <si>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</si>
  <si>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</si>
  <si>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</si>
  <si>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</si>
  <si>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</si>
  <si>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</si>
  <si>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</si>
  <si>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</si>
  <si>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</si>
  <si>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</si>
  <si>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</si>
  <si>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</si>
  <si>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</si>
  <si>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</si>
  <si>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</si>
  <si>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</si>
  <si>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</si>
  <si>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</si>
  <si>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</si>
  <si>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</si>
  <si>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</si>
  <si>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</si>
  <si>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</si>
  <si>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</si>
  <si>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</si>
  <si>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</si>
  <si>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</si>
  <si>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</si>
  <si>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</si>
  <si>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</si>
  <si>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</si>
  <si>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</si>
  <si>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</si>
  <si>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</si>
  <si>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</si>
  <si>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</si>
  <si>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</si>
  <si>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</si>
  <si>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</si>
  <si>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</si>
  <si>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</si>
  <si>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</si>
  <si>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</si>
  <si>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</si>
  <si>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</si>
  <si>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</si>
  <si>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</si>
  <si>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</si>
  <si>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</si>
  <si>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</si>
  <si>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</si>
  <si>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</si>
  <si>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</si>
  <si>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</si>
  <si>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</si>
  <si>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</si>
  <si>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</si>
  <si>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</si>
  <si>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</si>
  <si>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</si>
  <si>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</si>
  <si>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</si>
  <si>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</si>
  <si>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</si>
  <si>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</si>
  <si>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</si>
  <si>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</si>
  <si>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</si>
  <si>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</si>
  <si>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</si>
  <si>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</si>
  <si>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</si>
  <si>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</si>
  <si>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</si>
  <si>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</si>
  <si>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</si>
  <si>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</si>
  <si>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</si>
  <si>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</si>
  <si>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</si>
  <si>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</si>
  <si>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</si>
  <si>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</si>
  <si>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</si>
  <si>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</si>
  <si>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</si>
  <si>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</si>
  <si>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</si>
  <si>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</si>
  <si>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</si>
  <si>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</si>
  <si>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</si>
  <si>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</si>
  <si>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</si>
  <si>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</si>
  <si>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</si>
  <si>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</si>
  <si>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</si>
  <si>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</si>
  <si>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</si>
  <si>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</si>
  <si>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</si>
  <si>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</si>
  <si>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</si>
  <si>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</si>
  <si>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</si>
  <si>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</si>
  <si>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</si>
  <si>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</si>
  <si>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</si>
  <si>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</si>
  <si>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</si>
  <si>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</si>
  <si>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</si>
  <si>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</si>
  <si>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</si>
  <si>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</si>
  <si>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</si>
  <si>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</si>
  <si>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</si>
  <si>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</si>
  <si>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</si>
  <si>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</si>
  <si>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</si>
  <si>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</si>
  <si>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</si>
  <si>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</si>
  <si>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</si>
  <si>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</si>
  <si>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</si>
  <si>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</si>
  <si>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</si>
  <si>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</si>
  <si>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</si>
  <si>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</si>
  <si>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</si>
  <si>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</si>
  <si>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</si>
  <si>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</si>
  <si>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</si>
  <si>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</si>
  <si>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</si>
  <si>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</si>
  <si>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</si>
  <si>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</si>
  <si>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</si>
  <si>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</si>
  <si>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</si>
  <si>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</si>
  <si>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</si>
  <si>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</si>
  <si>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</si>
  <si>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</si>
  <si>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</si>
  <si>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</si>
  <si>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</si>
  <si>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</si>
  <si>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</si>
  <si>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</si>
  <si>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</si>
  <si>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</si>
  <si>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</si>
  <si>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</si>
  <si>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</si>
  <si>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</si>
  <si>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</si>
  <si>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</si>
  <si>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</si>
  <si>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</si>
  <si>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</si>
  <si>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</si>
  <si>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</si>
  <si>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</si>
  <si>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</si>
  <si>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</si>
  <si>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</si>
  <si>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</si>
  <si>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</si>
  <si>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</si>
  <si>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</si>
  <si>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</si>
  <si>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</si>
  <si>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</si>
  <si>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</si>
  <si>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</si>
  <si>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</si>
  <si>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</si>
  <si>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</si>
  <si>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</si>
  <si>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</si>
  <si>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</si>
  <si>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</si>
  <si>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</si>
  <si>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</si>
  <si>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</si>
  <si>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</si>
  <si>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</si>
  <si>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</si>
  <si>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</si>
  <si>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</si>
  <si>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</si>
  <si>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</si>
  <si>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</si>
  <si>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</si>
  <si>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</si>
  <si>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</si>
  <si>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</si>
  <si>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</si>
  <si>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</si>
  <si>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</si>
  <si>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</si>
  <si>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</si>
  <si>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</si>
  <si>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</si>
  <si>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</si>
  <si>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</si>
  <si>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</si>
  <si>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</si>
  <si>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</si>
  <si>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</si>
  <si>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</si>
  <si>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</si>
  <si>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</si>
  <si>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</si>
  <si>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</si>
  <si>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</si>
  <si>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</si>
  <si>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</si>
  <si>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</si>
  <si>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</si>
  <si>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</si>
  <si>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</si>
  <si>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</si>
  <si>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</si>
  <si>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</si>
  <si>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</si>
  <si>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</si>
  <si>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</si>
  <si>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</si>
  <si>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</si>
  <si>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</si>
  <si>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</si>
  <si>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</si>
  <si>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</si>
  <si>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</si>
  <si>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</si>
  <si>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</si>
  <si>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</si>
  <si>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</si>
  <si>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</si>
  <si>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</si>
  <si>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</si>
  <si>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</si>
  <si>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</si>
  <si>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</si>
  <si>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</si>
  <si>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</si>
  <si>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</si>
  <si>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</si>
  <si>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</si>
  <si>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</si>
  <si>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</si>
  <si>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</si>
  <si>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</si>
  <si>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</si>
  <si>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</si>
  <si>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</si>
  <si>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</si>
  <si>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</si>
  <si>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</si>
  <si>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</si>
  <si>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</si>
  <si>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</si>
  <si>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</si>
  <si>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</si>
  <si>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</si>
  <si>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</si>
  <si>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</si>
  <si>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</si>
  <si>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</si>
  <si>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</si>
  <si>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</si>
  <si>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</si>
  <si>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</si>
  <si>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</si>
  <si>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</si>
  <si>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</si>
  <si>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</si>
  <si>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</si>
  <si>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</si>
  <si>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</si>
  <si>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</si>
  <si>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</si>
  <si>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</si>
  <si>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</si>
  <si>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</si>
  <si>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</si>
  <si>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</si>
  <si>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</si>
  <si>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</si>
  <si>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</si>
  <si>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</si>
  <si>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</si>
  <si>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</si>
  <si>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</si>
  <si>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</si>
  <si>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</si>
  <si>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</si>
  <si>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</si>
  <si>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</si>
  <si>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</si>
  <si>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</si>
  <si>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</si>
  <si>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</si>
  <si>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</si>
  <si>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</si>
  <si>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</si>
  <si>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</si>
  <si>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</si>
  <si>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</si>
  <si>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</si>
  <si>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</si>
  <si>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</si>
  <si>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</si>
  <si>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</si>
  <si>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</si>
  <si>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</si>
  <si>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</si>
  <si>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</si>
  <si>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</si>
  <si>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</si>
  <si>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</si>
  <si>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</si>
  <si>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</si>
  <si>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</si>
  <si>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</si>
  <si>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</si>
  <si>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</si>
  <si>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</si>
  <si>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</si>
  <si>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</si>
  <si>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</si>
  <si>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</si>
  <si>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</si>
  <si>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</si>
  <si>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</si>
  <si>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</si>
  <si>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</si>
  <si>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</si>
  <si>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</si>
  <si>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</si>
  <si>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</si>
  <si>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</si>
  <si>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</si>
  <si>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</si>
  <si>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</si>
  <si>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</si>
  <si>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</si>
  <si>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</si>
  <si>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</si>
  <si>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</si>
  <si>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</si>
  <si>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</si>
  <si>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</si>
  <si>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</si>
  <si>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</si>
  <si>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</si>
  <si>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</si>
  <si>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</si>
  <si>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</si>
  <si>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</si>
  <si>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</si>
  <si>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</si>
  <si>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</si>
  <si>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</si>
  <si>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</si>
  <si>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</si>
  <si>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</si>
  <si>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</si>
  <si>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</si>
  <si>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</si>
  <si>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</si>
  <si>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</si>
  <si>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</si>
  <si>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</si>
  <si>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</si>
  <si>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</si>
  <si>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</si>
  <si>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</si>
  <si>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</si>
  <si>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</si>
  <si>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</si>
  <si>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</si>
  <si>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</si>
  <si>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</si>
  <si>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</si>
  <si>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</si>
  <si>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</si>
  <si>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</si>
  <si>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</si>
  <si>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</si>
  <si>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</si>
  <si>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</si>
  <si>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</si>
  <si>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</si>
  <si>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</si>
  <si>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</si>
  <si>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</si>
  <si>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</si>
  <si>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</si>
  <si>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</si>
  <si>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</si>
  <si>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</si>
  <si>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</si>
  <si>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</si>
  <si>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</si>
  <si>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</si>
  <si>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</si>
  <si>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</si>
  <si>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</si>
  <si>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</si>
  <si>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</si>
  <si>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</si>
  <si>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</si>
  <si>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</si>
  <si>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</si>
  <si>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</si>
  <si>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</si>
  <si>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</si>
  <si>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</si>
  <si>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</si>
  <si>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</si>
  <si>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</si>
  <si>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</si>
  <si>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</si>
  <si>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</si>
  <si>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</si>
  <si>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</si>
  <si>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</si>
  <si>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</si>
  <si>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</si>
  <si>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</si>
  <si>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</si>
  <si>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</si>
  <si>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</si>
  <si>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</si>
  <si>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</si>
  <si>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</si>
  <si>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</si>
  <si>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</si>
  <si>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</si>
  <si>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</si>
  <si>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</si>
  <si>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</si>
  <si>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</si>
  <si>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</si>
  <si>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</si>
  <si>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</si>
  <si>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</si>
  <si>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</si>
  <si>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</si>
  <si>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</si>
  <si>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</si>
  <si>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</si>
  <si>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</si>
  <si>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</si>
  <si>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</si>
  <si>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</si>
  <si>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</si>
  <si>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</si>
  <si>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</si>
  <si>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</si>
  <si>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</si>
  <si>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</si>
  <si>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</si>
  <si>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</si>
  <si>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</si>
  <si>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</si>
  <si>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</si>
  <si>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</si>
  <si>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</si>
  <si>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</si>
  <si>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</si>
  <si>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</si>
  <si>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</si>
  <si>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</si>
  <si>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</si>
  <si>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</si>
  <si>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</si>
  <si>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</si>
  <si>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</si>
  <si>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</si>
  <si>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</si>
  <si>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</si>
  <si>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</si>
  <si>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</si>
  <si>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</si>
  <si>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</si>
  <si>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</si>
  <si>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</si>
  <si>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</si>
  <si>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</si>
  <si>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</si>
  <si>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</si>
  <si>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</si>
  <si>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</si>
  <si>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</si>
  <si>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</si>
  <si>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</si>
  <si>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</si>
  <si>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</si>
  <si>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</si>
  <si>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</si>
  <si>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</si>
  <si>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</si>
  <si>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</si>
  <si>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</si>
  <si>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</si>
  <si>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</si>
  <si>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</si>
  <si>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</si>
  <si>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</si>
  <si>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</si>
  <si>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</si>
  <si>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</si>
  <si>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</si>
  <si>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</si>
  <si>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</si>
  <si>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</si>
  <si>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</si>
  <si>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</si>
  <si>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</si>
  <si>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</si>
  <si>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</si>
  <si>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</si>
  <si>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</si>
  <si>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</si>
  <si>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</si>
  <si>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</si>
  <si>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</si>
  <si>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</si>
  <si>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</si>
  <si>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</si>
  <si>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</si>
  <si>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</si>
  <si>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</si>
  <si>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</si>
  <si>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</si>
  <si>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</si>
  <si>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</si>
  <si>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</si>
  <si>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</si>
  <si>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</si>
  <si>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</si>
  <si>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</si>
  <si>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</si>
  <si>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</si>
  <si>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</si>
  <si>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</si>
  <si>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</si>
  <si>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</si>
  <si>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</si>
  <si>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</si>
  <si>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</si>
  <si>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</si>
  <si>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</si>
  <si>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</si>
  <si>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</si>
  <si>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</si>
  <si>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</si>
  <si>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</si>
  <si>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</si>
  <si>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</si>
  <si>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</si>
  <si>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</si>
  <si>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</si>
  <si>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</si>
  <si>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</si>
  <si>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</si>
  <si>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</si>
  <si>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</si>
  <si>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</si>
  <si>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</si>
  <si>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</si>
  <si>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</si>
  <si>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</si>
  <si>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</si>
  <si>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</si>
  <si>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</si>
  <si>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</si>
  <si>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</si>
  <si>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</si>
  <si>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</si>
  <si>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</si>
  <si>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</si>
  <si>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</si>
  <si>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</si>
  <si>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</si>
  <si>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</si>
  <si>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</si>
  <si>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</si>
  <si>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</si>
  <si>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</si>
  <si>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</si>
  <si>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</si>
  <si>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</si>
  <si>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</si>
  <si>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</si>
  <si>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</si>
  <si>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</si>
  <si>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</si>
  <si>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</si>
  <si>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</si>
  <si>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</si>
  <si>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</si>
  <si>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</si>
  <si>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</si>
  <si>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</si>
  <si>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</si>
  <si>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</si>
  <si>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</si>
  <si>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</si>
  <si>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</si>
  <si>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</si>
  <si>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</si>
  <si>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</si>
  <si>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</si>
  <si>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</si>
  <si>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</si>
  <si>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</si>
  <si>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</si>
  <si>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</si>
  <si>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</si>
  <si>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</si>
  <si>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</si>
  <si>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</si>
  <si>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</si>
  <si>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</si>
  <si>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</si>
  <si>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</si>
  <si>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</si>
  <si>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</si>
  <si>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</si>
  <si>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</si>
  <si>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</si>
  <si>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</si>
  <si>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</si>
  <si>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</si>
  <si>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</si>
  <si>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</si>
  <si>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</si>
  <si>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</si>
  <si>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</si>
  <si>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</si>
  <si>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</si>
  <si>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</si>
  <si>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</si>
  <si>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</si>
  <si>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</si>
  <si>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</si>
  <si>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</si>
  <si>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</si>
  <si>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</si>
  <si>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</si>
  <si>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</si>
  <si>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</si>
  <si>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</si>
  <si>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</si>
  <si>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</si>
  <si>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</si>
  <si>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</si>
  <si>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</si>
  <si>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</si>
  <si>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</si>
  <si>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</si>
  <si>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</si>
  <si>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</si>
  <si>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</si>
  <si>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</si>
  <si>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</si>
  <si>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</si>
  <si>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</si>
  <si>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</si>
  <si>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</si>
  <si>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</si>
  <si>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</si>
  <si>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</si>
  <si>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</si>
  <si>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</si>
  <si>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</si>
  <si>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</si>
  <si>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</si>
  <si>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</si>
  <si>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</si>
  <si>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</si>
  <si>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</si>
  <si>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</si>
  <si>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</si>
  <si>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</si>
  <si>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</si>
  <si>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</si>
  <si>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</si>
  <si>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</si>
  <si>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</si>
  <si>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</si>
  <si>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</si>
  <si>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</si>
  <si>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</si>
  <si>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</si>
  <si>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</si>
  <si>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</si>
  <si>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</si>
  <si>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</si>
  <si>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</si>
  <si>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</si>
  <si>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</si>
  <si>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</si>
  <si>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</si>
  <si>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</si>
  <si>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</si>
  <si>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</si>
  <si>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</si>
  <si>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</si>
  <si>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</si>
  <si>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</si>
  <si>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</si>
  <si>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</si>
  <si>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</si>
  <si>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</si>
  <si>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</si>
  <si>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</si>
  <si>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</si>
  <si>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</si>
  <si>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</si>
  <si>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</si>
  <si>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</si>
  <si>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</si>
  <si>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</si>
  <si>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</si>
  <si>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</si>
  <si>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</si>
  <si>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</si>
  <si>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</si>
  <si>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</si>
  <si>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</si>
  <si>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</si>
  <si>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</si>
  <si>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</si>
  <si>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</si>
  <si>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</si>
  <si>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</si>
  <si>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</si>
  <si>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</si>
  <si>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</si>
  <si>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</si>
  <si>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</si>
  <si>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</si>
  <si>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</si>
  <si>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</si>
  <si>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</si>
  <si>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</si>
  <si>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</si>
  <si>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</si>
  <si>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</si>
  <si>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</si>
  <si>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</si>
  <si>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</si>
  <si>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</si>
  <si>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</si>
  <si>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</si>
  <si>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</si>
  <si>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</si>
  <si>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</si>
  <si>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</si>
  <si>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</si>
  <si>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</si>
  <si>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</si>
  <si>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</si>
  <si>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</si>
  <si>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</si>
  <si>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</si>
  <si>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</si>
  <si>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</si>
  <si>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</si>
  <si>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</si>
  <si>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</si>
  <si>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</si>
  <si>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</si>
  <si>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</si>
  <si>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</si>
  <si>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</si>
  <si>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</si>
  <si>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</si>
  <si>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</si>
  <si>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</si>
  <si>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</si>
  <si>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</si>
  <si>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</si>
  <si>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</si>
  <si>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</si>
  <si>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</si>
  <si>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</si>
  <si>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</si>
  <si>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</si>
  <si>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</si>
  <si>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</si>
  <si>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</si>
  <si>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</si>
  <si>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</si>
  <si>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</si>
  <si>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</si>
  <si>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</si>
  <si>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</si>
  <si>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</si>
  <si>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</si>
  <si>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</si>
  <si>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</si>
  <si>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</si>
  <si>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</si>
  <si>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</si>
  <si>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</si>
  <si>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</si>
  <si>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</si>
  <si>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</si>
  <si>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</si>
  <si>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</si>
  <si>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</si>
  <si>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</si>
  <si>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</si>
  <si>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</si>
  <si>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</si>
  <si>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</si>
  <si>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</si>
  <si>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</si>
  <si>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</si>
  <si>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</si>
  <si>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</si>
  <si>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</si>
  <si>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</si>
  <si>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</si>
  <si>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</si>
  <si>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</si>
  <si>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</si>
  <si>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</si>
  <si>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</si>
  <si>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</si>
  <si>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</si>
  <si>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</si>
  <si>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</si>
  <si>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</si>
  <si>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</si>
  <si>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</si>
  <si>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</si>
  <si>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</si>
  <si>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</si>
  <si>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</si>
  <si>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</si>
  <si>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</si>
  <si>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</si>
  <si>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</si>
  <si>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</si>
  <si>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</si>
  <si>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</si>
  <si>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</si>
  <si>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</si>
  <si>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</si>
  <si>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</si>
  <si>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</si>
  <si>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</si>
  <si>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</si>
  <si>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</si>
  <si>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</si>
  <si>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</si>
  <si>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</si>
  <si>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</si>
  <si>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</si>
  <si>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</si>
  <si>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</si>
  <si>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</si>
  <si>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</si>
  <si>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</si>
  <si>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</si>
  <si>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</si>
  <si>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</si>
  <si>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</si>
  <si>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</si>
  <si>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</si>
  <si>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</si>
  <si>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</si>
  <si>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</si>
  <si>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</si>
  <si>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</si>
  <si>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</si>
  <si>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</si>
  <si>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</si>
  <si>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</si>
  <si>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</si>
  <si>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</si>
  <si>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</si>
  <si>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</si>
  <si>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</si>
  <si>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</si>
  <si>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</si>
  <si>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</si>
  <si>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</si>
  <si>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</si>
  <si>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</si>
  <si>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</si>
  <si>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</si>
  <si>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</si>
  <si>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</si>
  <si>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</si>
  <si>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</si>
  <si>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</si>
  <si>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</si>
  <si>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</si>
  <si>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</si>
  <si>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</si>
  <si>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</si>
  <si>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</si>
  <si>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</si>
  <si>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</si>
  <si>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</si>
  <si>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</si>
  <si>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</si>
  <si>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</si>
  <si>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</si>
  <si>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</si>
  <si>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</si>
  <si>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</si>
  <si>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</si>
  <si>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</si>
  <si>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</si>
  <si>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</si>
  <si>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</si>
  <si>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</si>
  <si>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</si>
  <si>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</si>
  <si>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</si>
  <si>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</si>
  <si>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</si>
  <si>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</si>
  <si>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</si>
  <si>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</si>
  <si>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</si>
  <si>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</si>
  <si>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</si>
  <si>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</si>
  <si>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</si>
  <si>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</si>
  <si>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</si>
  <si>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</si>
  <si>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</si>
  <si>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</si>
  <si>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</si>
  <si>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</si>
  <si>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</si>
  <si>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</si>
  <si>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</si>
  <si>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</si>
  <si>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</si>
  <si>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</si>
  <si>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</si>
  <si>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</si>
  <si>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</si>
  <si>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</si>
  <si>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</si>
  <si>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</si>
  <si>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</si>
  <si>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</si>
  <si>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</si>
  <si>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</si>
  <si>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</si>
  <si>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</si>
  <si>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</si>
  <si>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</si>
  <si>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</si>
  <si>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</si>
  <si>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</si>
  <si>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</si>
  <si>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</si>
  <si>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</si>
  <si>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</si>
  <si>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</si>
  <si>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</si>
  <si>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</si>
  <si>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</si>
  <si>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</si>
  <si>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</si>
  <si>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</si>
  <si>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</si>
  <si>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</si>
  <si>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</si>
  <si>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</si>
  <si>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</si>
  <si>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</si>
  <si>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</si>
  <si>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</si>
  <si>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</si>
  <si>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</si>
  <si>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</si>
  <si>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</si>
  <si>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</si>
  <si>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</si>
  <si>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</si>
  <si>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</si>
  <si>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</si>
  <si>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</si>
  <si>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</si>
  <si>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</si>
  <si>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</si>
  <si>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</si>
  <si>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</si>
  <si>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</si>
  <si>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</si>
  <si>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</si>
  <si>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</si>
  <si>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</si>
  <si>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</si>
  <si>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</si>
  <si>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</si>
  <si>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</si>
  <si>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</si>
  <si>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</si>
  <si>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</si>
  <si>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</si>
  <si>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</si>
  <si>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</si>
  <si>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</si>
  <si>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</si>
  <si>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</si>
  <si>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</si>
  <si>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</si>
  <si>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</si>
  <si>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</si>
  <si>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</si>
  <si>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</si>
  <si>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</si>
  <si>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</si>
  <si>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</si>
  <si>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</si>
  <si>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</si>
  <si>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</si>
  <si>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</si>
  <si>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</si>
  <si>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</si>
  <si>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</si>
  <si>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</si>
  <si>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</si>
  <si>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</si>
  <si>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</si>
  <si>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</si>
  <si>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</si>
  <si>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</si>
  <si>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</si>
  <si>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</si>
  <si>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</si>
  <si>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</si>
  <si>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</si>
  <si>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</si>
  <si>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</si>
  <si>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</si>
  <si>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</si>
  <si>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</si>
  <si>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</si>
  <si>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</si>
  <si>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</si>
  <si>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</si>
  <si>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</si>
  <si>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</si>
  <si>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</si>
  <si>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</si>
  <si>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</si>
  <si>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</si>
  <si>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</si>
  <si>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</si>
  <si>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</si>
  <si>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</si>
  <si>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</si>
  <si>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</si>
  <si>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</si>
  <si>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</si>
  <si>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</si>
  <si>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</si>
  <si>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</si>
  <si>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</si>
  <si>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</si>
  <si>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</si>
  <si>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</si>
  <si>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</si>
  <si>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</si>
  <si>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</si>
  <si>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</si>
  <si>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</si>
  <si>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</si>
  <si>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</si>
  <si>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</si>
  <si>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</si>
  <si>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</si>
  <si>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</si>
  <si>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</si>
  <si>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</si>
  <si>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</si>
  <si>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</si>
  <si>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</si>
  <si>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</si>
  <si>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</si>
  <si>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</si>
  <si>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</si>
  <si>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</si>
  <si>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</si>
  <si>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</si>
  <si>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</si>
  <si>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</si>
  <si>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</si>
  <si>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</si>
  <si>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</si>
  <si>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</si>
  <si>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</si>
  <si>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</si>
  <si>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</si>
  <si>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</si>
  <si>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</si>
  <si>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</si>
  <si>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</si>
  <si>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</si>
  <si>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</si>
  <si>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</si>
  <si>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</si>
  <si>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</si>
  <si>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</si>
  <si>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</si>
  <si>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</si>
  <si>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</si>
  <si>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</si>
  <si>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</si>
  <si>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</si>
  <si>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</si>
  <si>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</si>
  <si>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</si>
  <si>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</si>
  <si>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</si>
  <si>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</si>
  <si>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</si>
  <si>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</si>
  <si>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</si>
  <si>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</si>
  <si>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</si>
  <si>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</si>
  <si>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</si>
  <si>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</si>
  <si>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</si>
  <si>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</si>
  <si>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</si>
  <si>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</si>
  <si>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</si>
  <si>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</si>
  <si>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</si>
  <si>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</si>
  <si>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</si>
  <si>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</si>
  <si>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</si>
  <si>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</si>
  <si>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</si>
  <si>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</si>
  <si>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</si>
  <si>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</si>
  <si>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</si>
  <si>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</si>
  <si>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</si>
  <si>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</si>
  <si>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</si>
  <si>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</si>
  <si>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</si>
  <si>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</si>
  <si>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</si>
  <si>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</si>
  <si>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</si>
  <si>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</si>
  <si>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</si>
  <si>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</si>
  <si>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</si>
  <si>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</si>
  <si>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</si>
  <si>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</si>
  <si>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</si>
  <si>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</si>
  <si>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</si>
  <si>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</si>
  <si>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</si>
  <si>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</si>
  <si>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</si>
  <si>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</si>
  <si>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</si>
  <si>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</si>
  <si>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</si>
  <si>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</si>
  <si>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</si>
  <si>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</si>
  <si>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</si>
  <si>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</si>
  <si>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</si>
  <si>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</si>
  <si>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</si>
  <si>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</si>
  <si>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</si>
  <si>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</si>
  <si>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</si>
  <si>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</si>
  <si>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</si>
  <si>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</si>
  <si>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</si>
  <si>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</si>
  <si>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</si>
  <si>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</si>
  <si>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</si>
  <si>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</si>
  <si>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</si>
  <si>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</si>
  <si>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</si>
  <si>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</si>
  <si>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</si>
  <si>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</si>
  <si>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</si>
  <si>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</si>
  <si>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</si>
  <si>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</si>
  <si>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</si>
  <si>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</si>
  <si>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</si>
  <si>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</si>
  <si>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</si>
  <si>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</si>
  <si>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</si>
  <si>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</si>
  <si>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</si>
  <si>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</si>
  <si>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</si>
  <si>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</si>
  <si>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</si>
  <si>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</si>
  <si>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</si>
  <si>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</si>
  <si>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</si>
  <si>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</si>
  <si>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</si>
  <si>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</si>
  <si>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</si>
  <si>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</si>
  <si>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</si>
  <si>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</si>
  <si>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</si>
  <si>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</si>
  <si>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</si>
  <si>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</si>
  <si>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</si>
  <si>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</si>
  <si>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</si>
  <si>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</si>
  <si>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</si>
  <si>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</si>
  <si>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</si>
  <si>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</si>
  <si>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</si>
  <si>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</si>
  <si>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</si>
  <si>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</si>
  <si>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</si>
  <si>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</si>
  <si>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</si>
  <si>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</si>
  <si>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</si>
  <si>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</si>
  <si>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</si>
  <si>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</si>
  <si>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</si>
  <si>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</si>
  <si>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</si>
  <si>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</si>
  <si>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</si>
  <si>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</si>
  <si>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</si>
  <si>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</si>
  <si>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</si>
  <si>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</si>
  <si>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</si>
  <si>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</si>
  <si>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</si>
  <si>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</si>
  <si>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</si>
  <si>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</si>
  <si>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</si>
  <si>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</si>
  <si>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</si>
  <si>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</si>
  <si>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</si>
  <si>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</si>
  <si>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</si>
  <si>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</si>
  <si>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</si>
  <si>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</si>
  <si>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</si>
  <si>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</si>
  <si>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</si>
  <si>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</si>
  <si>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</si>
  <si>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</si>
  <si>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</si>
  <si>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</si>
  <si>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</si>
  <si>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</si>
  <si>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</si>
  <si>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</si>
  <si>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</si>
  <si>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</si>
  <si>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</si>
  <si>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</si>
  <si>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</si>
  <si>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</si>
  <si>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</si>
  <si>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</si>
  <si>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</si>
  <si>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</si>
  <si>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</si>
  <si>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</si>
  <si>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</si>
  <si>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</si>
  <si>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</si>
  <si>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</si>
  <si>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</si>
  <si>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</si>
  <si>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</si>
  <si>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</si>
  <si>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</si>
  <si>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</si>
  <si>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</si>
  <si>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</si>
  <si>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</si>
  <si>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</si>
  <si>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</si>
  <si>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</si>
  <si>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</si>
  <si>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</si>
  <si>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</si>
  <si>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</si>
  <si>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</si>
  <si>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</si>
  <si>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</si>
  <si>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</si>
  <si>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</si>
  <si>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</si>
  <si>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</si>
  <si>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</si>
  <si>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</si>
  <si>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</si>
  <si>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</si>
  <si>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</si>
  <si>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</si>
  <si>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</si>
  <si>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</si>
  <si>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</si>
  <si>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</si>
  <si>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</si>
  <si>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</si>
  <si>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</si>
  <si>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</si>
  <si>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</si>
  <si>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</si>
  <si>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</si>
  <si>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</si>
  <si>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</si>
  <si>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</si>
  <si>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</si>
  <si>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</si>
  <si>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</si>
  <si>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</si>
  <si>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</si>
  <si>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</si>
  <si>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</si>
  <si>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</si>
  <si>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</si>
  <si>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</si>
  <si>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</si>
  <si>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</si>
  <si>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</si>
  <si>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</si>
  <si>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</si>
  <si>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</si>
  <si>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</si>
  <si>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</si>
  <si>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</si>
  <si>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</si>
  <si>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</si>
  <si>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</si>
  <si>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</si>
  <si>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</si>
  <si>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</si>
  <si>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</si>
  <si>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</si>
  <si>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</si>
  <si>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</si>
  <si>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</si>
  <si>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</si>
  <si>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</si>
  <si>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</si>
  <si>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</si>
  <si>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</si>
  <si>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</si>
  <si>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</si>
  <si>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</si>
  <si>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</si>
  <si>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</si>
  <si>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</si>
  <si>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</si>
  <si>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</si>
  <si>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</si>
  <si>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</si>
  <si>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</si>
  <si>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</si>
  <si>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</si>
  <si>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</si>
  <si>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</si>
  <si>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</si>
  <si>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</si>
  <si>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</si>
  <si>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</si>
  <si>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</si>
  <si>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</si>
  <si>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</si>
  <si>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</si>
  <si>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</si>
  <si>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</si>
  <si>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</si>
  <si>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</si>
  <si>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</si>
  <si>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</si>
  <si>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</si>
  <si>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</si>
  <si>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</si>
  <si>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</si>
  <si>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</si>
  <si>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</si>
  <si>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</si>
  <si>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</si>
  <si>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</si>
  <si>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</si>
  <si>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</si>
  <si>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</si>
  <si>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</si>
  <si>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</si>
  <si>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</si>
  <si>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</si>
  <si>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</si>
  <si>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</si>
  <si>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</si>
  <si>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</si>
  <si>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</si>
  <si>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</si>
  <si>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</si>
  <si>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</si>
  <si>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</si>
  <si>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</si>
  <si>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</si>
  <si>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</si>
  <si>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</si>
  <si>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</si>
  <si>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</si>
  <si>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</si>
  <si>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</si>
  <si>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</si>
  <si>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</si>
  <si>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</si>
  <si>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</si>
  <si>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</si>
  <si>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</si>
  <si>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</si>
  <si>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</si>
  <si>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</si>
  <si>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</si>
  <si>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</si>
  <si>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</si>
  <si>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</si>
  <si>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</si>
  <si>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</si>
  <si>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</si>
  <si>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</si>
  <si>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</si>
  <si>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</si>
  <si>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</si>
  <si>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</si>
  <si>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</si>
  <si>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</si>
  <si>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</si>
  <si>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</si>
  <si>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</si>
  <si>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</si>
  <si>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</si>
  <si>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</si>
  <si>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</si>
  <si>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</si>
  <si>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</si>
  <si>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</si>
  <si>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</si>
  <si>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</si>
  <si>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</si>
  <si>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</si>
  <si>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</si>
  <si>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</si>
  <si>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</si>
  <si>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</si>
  <si>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</si>
  <si>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</si>
  <si>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</si>
  <si>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</si>
  <si>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</si>
  <si>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</si>
  <si>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</si>
  <si>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</si>
  <si>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</si>
  <si>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</si>
  <si>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</si>
  <si>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</si>
  <si>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</si>
  <si>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</si>
  <si>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</si>
  <si>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</si>
  <si>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</si>
  <si>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</si>
  <si>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</si>
  <si>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</si>
  <si>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</si>
  <si>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</si>
  <si>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</si>
  <si>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</si>
  <si>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</si>
  <si>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</si>
  <si>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</si>
  <si>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</si>
  <si>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</si>
  <si>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</si>
  <si>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</si>
  <si>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</si>
  <si>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</si>
  <si>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</si>
  <si>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</si>
  <si>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</si>
  <si>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</si>
  <si>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</si>
  <si>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</si>
  <si>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</si>
  <si>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</si>
  <si>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</si>
  <si>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</si>
  <si>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</si>
  <si>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</si>
  <si>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</si>
  <si>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</si>
  <si>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</si>
  <si>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</si>
  <si>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</si>
  <si>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</si>
  <si>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</si>
  <si>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</si>
  <si>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</si>
  <si>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</si>
  <si>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</si>
  <si>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</si>
  <si>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</si>
  <si>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</si>
  <si>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</si>
  <si>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</si>
  <si>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</si>
  <si>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</si>
  <si>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</si>
  <si>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</si>
  <si>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</si>
  <si>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</si>
  <si>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</si>
  <si>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</si>
  <si>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</si>
  <si>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</si>
  <si>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</si>
  <si>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</si>
  <si>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</si>
  <si>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</si>
  <si>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</si>
  <si>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</si>
  <si>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</si>
  <si>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</si>
  <si>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</si>
  <si>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</si>
  <si>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</si>
  <si>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</si>
  <si>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</si>
  <si>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</si>
  <si>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</si>
  <si>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</si>
  <si>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</si>
  <si>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</si>
  <si>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</si>
  <si>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</si>
  <si>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</si>
  <si>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</si>
  <si>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</si>
  <si>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</si>
  <si>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</si>
  <si>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</si>
  <si>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</si>
  <si>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</si>
  <si>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</si>
  <si>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</si>
  <si>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</si>
  <si>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</si>
  <si>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</si>
  <si>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</si>
  <si>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</si>
  <si>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</si>
  <si>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</si>
  <si>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</si>
  <si>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</si>
  <si>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</si>
  <si>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</si>
  <si>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</si>
  <si>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</si>
  <si>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</si>
  <si>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</si>
  <si>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</si>
  <si>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</si>
  <si>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</si>
  <si>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</si>
  <si>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</si>
  <si>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</si>
  <si>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</si>
  <si>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</si>
  <si>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</si>
  <si>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</si>
  <si>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</si>
  <si>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</si>
  <si>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</si>
  <si>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</si>
  <si>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</si>
  <si>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</si>
  <si>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</si>
  <si>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</si>
  <si>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</si>
  <si>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</si>
  <si>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</si>
  <si>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</si>
  <si>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</si>
  <si>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</si>
  <si>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</si>
  <si>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</si>
  <si>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</si>
  <si>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</si>
  <si>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</si>
  <si>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</si>
  <si>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</si>
  <si>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</si>
  <si>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</si>
  <si>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</si>
  <si>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</si>
  <si>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</si>
  <si>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</si>
  <si>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</si>
  <si>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</si>
  <si>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</si>
  <si>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</si>
  <si>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</si>
  <si>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</si>
  <si>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</si>
  <si>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</si>
  <si>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</si>
  <si>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</si>
  <si>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</si>
  <si>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</si>
  <si>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</si>
  <si>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</si>
  <si>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</si>
  <si>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</si>
  <si>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</si>
  <si>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</si>
  <si>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</si>
  <si>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</si>
  <si>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</si>
  <si>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</si>
  <si>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</si>
  <si>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</si>
  <si>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</si>
  <si>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</si>
  <si>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</si>
  <si>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</si>
  <si>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</si>
  <si>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</si>
  <si>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</si>
  <si>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</si>
  <si>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</si>
  <si>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</si>
  <si>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</si>
  <si>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</si>
  <si>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</si>
  <si>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</si>
  <si>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</si>
  <si>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</si>
  <si>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</si>
  <si>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</si>
  <si>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</si>
  <si>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</si>
  <si>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</si>
  <si>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</si>
  <si>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</si>
  <si>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</si>
  <si>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</si>
  <si>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</si>
  <si>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</si>
  <si>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</si>
  <si>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</si>
  <si>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</si>
  <si>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</si>
  <si>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</si>
  <si>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</si>
  <si>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</si>
  <si>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</si>
  <si>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</si>
  <si>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</si>
  <si>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</si>
  <si>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</si>
  <si>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</si>
  <si>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</si>
  <si>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</si>
  <si>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</si>
  <si>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</si>
  <si>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</si>
  <si>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</si>
  <si>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</si>
  <si>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</si>
  <si>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</si>
  <si>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</si>
  <si>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</si>
  <si>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</si>
  <si>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</si>
  <si>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</si>
  <si>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</si>
  <si>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</si>
  <si>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</si>
  <si>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</si>
  <si>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</si>
  <si>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</si>
  <si>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</si>
  <si>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</si>
  <si>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</si>
  <si>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</si>
  <si>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</si>
  <si>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</si>
  <si>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</si>
  <si>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</si>
  <si>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</si>
  <si>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</si>
  <si>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</si>
  <si>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</si>
  <si>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</si>
  <si>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</si>
  <si>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</si>
  <si>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</si>
  <si>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</si>
  <si>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</si>
  <si>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</si>
  <si>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</si>
  <si>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</si>
  <si>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</si>
  <si>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</si>
  <si>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</si>
  <si>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</si>
  <si>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</si>
  <si>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</si>
  <si>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</si>
  <si>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</si>
  <si>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</si>
  <si>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</si>
  <si>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</si>
  <si>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</si>
  <si>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</si>
  <si>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</si>
  <si>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</si>
  <si>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</si>
  <si>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</si>
  <si>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</si>
  <si>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</si>
  <si>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</si>
  <si>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</si>
  <si>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</si>
  <si>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</si>
  <si>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</si>
  <si>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</si>
  <si>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</si>
  <si>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</si>
  <si>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</si>
  <si>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</si>
  <si>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</si>
  <si>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</si>
  <si>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</si>
  <si>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</si>
  <si>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</si>
  <si>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</si>
  <si>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</si>
  <si>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</si>
  <si>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</si>
  <si>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</si>
  <si>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</si>
  <si>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</si>
  <si>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</si>
  <si>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</si>
  <si>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</si>
  <si>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</si>
  <si>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</si>
  <si>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</si>
  <si>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</si>
  <si>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</si>
  <si>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</si>
  <si>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</si>
  <si>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</si>
  <si>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</si>
  <si>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</si>
  <si>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</si>
  <si>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</si>
  <si>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</si>
  <si>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</si>
  <si>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</si>
  <si>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</si>
  <si>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</si>
  <si>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</si>
  <si>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</si>
  <si>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</si>
  <si>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</si>
  <si>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</si>
  <si>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</si>
  <si>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</si>
  <si>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</si>
  <si>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</si>
  <si>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</si>
  <si>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</si>
  <si>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</si>
  <si>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</si>
  <si>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</si>
  <si>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</si>
  <si>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</si>
  <si>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</si>
  <si>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</si>
  <si>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</si>
  <si>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</si>
  <si>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</si>
  <si>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</si>
  <si>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</si>
  <si>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</si>
  <si>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</si>
  <si>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</si>
  <si>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</si>
  <si>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</si>
  <si>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</si>
  <si>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</si>
  <si>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</si>
  <si>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</si>
  <si>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</si>
  <si>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</si>
  <si>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</si>
  <si>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</si>
  <si>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</si>
  <si>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</si>
  <si>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</si>
  <si>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</si>
  <si>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</si>
  <si>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</si>
  <si>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</si>
  <si>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</si>
  <si>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</si>
  <si>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</si>
  <si>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</si>
  <si>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</si>
  <si>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</si>
  <si>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</si>
  <si>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</si>
  <si>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</si>
  <si>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</si>
  <si>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</si>
  <si>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</si>
  <si>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</si>
  <si>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</si>
  <si>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</si>
  <si>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</si>
  <si>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</si>
  <si>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</si>
  <si>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</si>
  <si>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</si>
  <si>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</si>
  <si>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</si>
  <si>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</si>
  <si>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</si>
  <si>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</si>
  <si>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</si>
  <si>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</si>
  <si>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</si>
  <si>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</si>
  <si>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</si>
  <si>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</si>
  <si>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</si>
  <si>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</si>
  <si>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</si>
  <si>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</si>
  <si>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</si>
  <si>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</si>
  <si>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</si>
  <si>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</si>
  <si>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</si>
  <si>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</si>
  <si>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</si>
  <si>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</si>
  <si>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</si>
  <si>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</si>
  <si>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</si>
  <si>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</si>
  <si>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</si>
  <si>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</si>
  <si>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</si>
  <si>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</si>
  <si>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</si>
  <si>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</si>
  <si>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</si>
  <si>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</si>
  <si>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</si>
  <si>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</si>
  <si>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</si>
  <si>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</si>
  <si>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</si>
  <si>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</si>
  <si>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</si>
  <si>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</si>
  <si>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</si>
  <si>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</si>
  <si>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</si>
  <si>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</si>
  <si>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</si>
  <si>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</si>
  <si>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</si>
  <si>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</si>
  <si>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</si>
  <si>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</si>
  <si>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</si>
  <si>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</si>
  <si>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</si>
  <si>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</si>
  <si>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</si>
  <si>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</si>
  <si>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</si>
  <si>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</si>
  <si>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</si>
  <si>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</si>
  <si>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</si>
  <si>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</si>
  <si>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</si>
  <si>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</si>
  <si>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</si>
  <si>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</si>
  <si>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</si>
  <si>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</si>
  <si>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</si>
  <si>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</si>
  <si>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</si>
  <si>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</si>
  <si>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</si>
  <si>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</si>
  <si>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</si>
  <si>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</si>
  <si>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</si>
  <si>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</si>
  <si>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</si>
  <si>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</si>
  <si>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</si>
  <si>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</si>
  <si>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</si>
  <si>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</si>
  <si>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</si>
  <si>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</si>
  <si>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</si>
  <si>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</si>
  <si>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</si>
  <si>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</si>
  <si>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</si>
  <si>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</si>
  <si>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</si>
  <si>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</si>
  <si>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</si>
  <si>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</si>
  <si>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</si>
  <si>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</si>
  <si>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</si>
  <si>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</si>
  <si>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</si>
  <si>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</si>
  <si>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</si>
  <si>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</si>
  <si>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</si>
  <si>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</si>
  <si>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</si>
  <si>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</si>
  <si>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</si>
  <si>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</si>
  <si>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</si>
  <si>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</si>
  <si>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</si>
  <si>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</si>
  <si>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</si>
  <si>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</si>
  <si>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</si>
  <si>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</si>
  <si>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</si>
  <si>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</si>
  <si>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</si>
  <si>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</si>
  <si>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</si>
  <si>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</si>
  <si>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</si>
  <si>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</si>
  <si>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</si>
  <si>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</si>
  <si>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</si>
  <si>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</si>
  <si>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</si>
  <si>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</si>
  <si>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</si>
  <si>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</si>
  <si>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</si>
  <si>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</si>
  <si>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</si>
  <si>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</si>
  <si>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</si>
  <si>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</si>
  <si>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</si>
  <si>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</si>
  <si>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</si>
  <si>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</si>
  <si>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</si>
  <si>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</si>
  <si>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</si>
  <si>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</si>
  <si>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</si>
  <si>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</si>
  <si>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</si>
  <si>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</si>
  <si>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</si>
  <si>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</si>
  <si>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</si>
  <si>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</si>
  <si>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</si>
  <si>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</si>
  <si>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</si>
  <si>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</si>
  <si>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</si>
  <si>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</si>
  <si>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</si>
  <si>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</si>
  <si>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</si>
  <si>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</si>
  <si>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</si>
  <si>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</si>
  <si>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</si>
  <si>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</si>
  <si>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</si>
  <si>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</si>
  <si>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</si>
  <si>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</si>
  <si>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</si>
  <si>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</si>
  <si>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</si>
  <si>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</si>
  <si>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</si>
  <si>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</si>
  <si>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</si>
  <si>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</si>
  <si>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</si>
  <si>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</si>
  <si>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</si>
  <si>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</si>
  <si>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</si>
  <si>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</si>
  <si>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</si>
  <si>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</si>
  <si>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</si>
  <si>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</si>
  <si>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</si>
  <si>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</si>
  <si>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</si>
  <si>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</si>
  <si>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</si>
  <si>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</si>
  <si>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</si>
  <si>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</si>
  <si>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</si>
  <si>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</si>
  <si>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</si>
  <si>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</si>
  <si>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</si>
  <si>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</si>
  <si>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</si>
  <si>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</si>
  <si>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</si>
  <si>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</si>
  <si>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</si>
  <si>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</si>
  <si>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</si>
  <si>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</si>
  <si>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</si>
  <si>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</si>
  <si>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</si>
  <si>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</si>
  <si>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</si>
  <si>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</si>
  <si>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</si>
  <si>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</si>
  <si>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</si>
  <si>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</si>
  <si>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</si>
  <si>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</si>
  <si>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</si>
  <si>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</si>
  <si>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</si>
  <si>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</si>
  <si>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</si>
  <si>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</si>
  <si>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</si>
  <si>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</si>
  <si>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</si>
  <si>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</si>
  <si>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</si>
  <si>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</si>
  <si>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</si>
  <si>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</si>
  <si>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</si>
  <si>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</si>
  <si>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</si>
  <si>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</si>
  <si>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</si>
  <si>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</si>
  <si>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</si>
  <si>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</si>
  <si>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</si>
  <si>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</si>
  <si>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</si>
  <si>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</si>
  <si>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</si>
  <si>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</si>
  <si>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</si>
  <si>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</si>
  <si>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</si>
  <si>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</si>
  <si>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</si>
  <si>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</si>
  <si>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</si>
  <si>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</si>
  <si>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</si>
  <si>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</si>
  <si>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</si>
  <si>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</si>
  <si>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</si>
  <si>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</si>
  <si>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</si>
  <si>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</si>
  <si>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</si>
  <si>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</si>
  <si>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</si>
  <si>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</si>
  <si>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</si>
  <si>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</si>
  <si>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</si>
  <si>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</si>
  <si>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</si>
  <si>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</si>
  <si>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</si>
  <si>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</si>
  <si>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</si>
  <si>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</si>
  <si>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</si>
  <si>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</si>
  <si>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</si>
  <si>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</si>
  <si>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</si>
  <si>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</si>
  <si>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</si>
  <si>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</si>
  <si>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</si>
  <si>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</si>
  <si>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</si>
  <si>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</si>
  <si>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</si>
  <si>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</si>
  <si>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</si>
  <si>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</si>
  <si>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</si>
  <si>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</si>
  <si>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</si>
  <si>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</si>
  <si>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</si>
  <si>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</si>
  <si>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</si>
  <si>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</si>
  <si>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</si>
  <si>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</si>
  <si>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</si>
  <si>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</si>
  <si>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</si>
  <si>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</si>
  <si>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</si>
  <si>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</si>
  <si>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</si>
  <si>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</si>
  <si>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</si>
  <si>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</si>
  <si>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</si>
  <si>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</si>
  <si>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</si>
  <si>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</si>
  <si>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</si>
  <si>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</si>
  <si>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</si>
  <si>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</si>
  <si>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</si>
  <si>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</si>
  <si>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</si>
  <si>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</si>
  <si>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</si>
  <si>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</si>
  <si>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</si>
  <si>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</si>
  <si>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</si>
  <si>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</si>
  <si>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</si>
  <si>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</si>
  <si>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</si>
  <si>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</si>
  <si>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</si>
  <si>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</si>
  <si>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</si>
  <si>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</si>
  <si>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</si>
  <si>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</si>
  <si>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</si>
  <si>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</si>
  <si>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</si>
  <si>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</si>
  <si>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</si>
  <si>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</si>
  <si>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</si>
  <si>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</si>
  <si>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</si>
  <si>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</si>
  <si>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</si>
  <si>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</si>
  <si>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</si>
  <si>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</si>
  <si>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</si>
  <si>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</si>
  <si>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</si>
  <si>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</si>
  <si>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</si>
  <si>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</si>
  <si>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</si>
  <si>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</si>
  <si>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</si>
  <si>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</si>
  <si>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</si>
  <si>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</si>
  <si>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</si>
  <si>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</si>
  <si>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</si>
  <si>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</si>
  <si>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</si>
  <si>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</si>
  <si>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</si>
  <si>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</si>
  <si>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</si>
  <si>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</si>
  <si>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</si>
  <si>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</si>
  <si>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</si>
  <si>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</si>
  <si>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</si>
  <si>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</si>
  <si>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</si>
  <si>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</si>
  <si>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</si>
  <si>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</si>
  <si>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</si>
  <si>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</si>
  <si>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</si>
  <si>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</si>
  <si>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</si>
  <si>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</si>
  <si>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</si>
  <si>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</si>
  <si>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</si>
  <si>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</si>
  <si>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</si>
  <si>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</si>
  <si>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</si>
  <si>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</si>
  <si>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</si>
  <si>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</si>
  <si>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</si>
  <si>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</si>
  <si>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</si>
  <si>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</si>
  <si>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</si>
  <si>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</si>
  <si>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</si>
  <si>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</si>
  <si>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</si>
  <si>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</si>
  <si>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</si>
  <si>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</si>
  <si>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</si>
  <si>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</si>
  <si>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</si>
  <si>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</si>
  <si>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</si>
  <si>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</si>
  <si>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</si>
  <si>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</si>
  <si>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</si>
  <si>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</si>
  <si>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</si>
  <si>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</si>
  <si>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</si>
  <si>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</si>
  <si>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</si>
  <si>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</si>
  <si>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</si>
  <si>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</si>
  <si>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</si>
  <si>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</si>
  <si>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</si>
  <si>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</si>
  <si>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</si>
  <si>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</si>
  <si>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</si>
  <si>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</si>
  <si>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</si>
  <si>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</si>
  <si>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</si>
  <si>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</si>
  <si>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</si>
  <si>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</si>
  <si>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</si>
  <si>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</si>
  <si>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</si>
  <si>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</si>
  <si>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</si>
  <si>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</si>
  <si>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</si>
  <si>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</si>
  <si>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</si>
  <si>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</si>
  <si>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</si>
  <si>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</si>
  <si>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</si>
  <si>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</si>
  <si>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</si>
  <si>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</si>
  <si>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</si>
  <si>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</si>
  <si>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</si>
  <si>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</si>
  <si>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</si>
  <si>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</si>
  <si>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</si>
  <si>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</si>
  <si>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</si>
  <si>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</si>
  <si>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</si>
  <si>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</si>
  <si>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</si>
  <si>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</si>
  <si>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</si>
  <si>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</si>
  <si>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</si>
  <si>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</si>
  <si>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</si>
  <si>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</si>
  <si>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</si>
  <si>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</si>
  <si>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</si>
  <si>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</si>
  <si>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</si>
  <si>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</si>
  <si>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</si>
  <si>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</si>
  <si>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</si>
  <si>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</si>
  <si>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</si>
  <si>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</si>
  <si>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</si>
  <si>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</si>
  <si>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</si>
  <si>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</si>
  <si>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</si>
  <si>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</si>
  <si>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</si>
  <si>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</si>
  <si>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</si>
  <si>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</si>
  <si>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</si>
  <si>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</si>
  <si>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</si>
  <si>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</si>
  <si>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</si>
  <si>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</si>
  <si>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</si>
  <si>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</si>
  <si>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</si>
  <si>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</si>
  <si>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</si>
  <si>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</si>
  <si>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</si>
  <si>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</si>
  <si>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</si>
  <si>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</si>
  <si>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</si>
  <si>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</si>
  <si>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</si>
  <si>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</si>
  <si>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</si>
  <si>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</si>
  <si>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</si>
  <si>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</si>
  <si>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</si>
  <si>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</si>
  <si>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</si>
  <si>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</si>
  <si>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</si>
  <si>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</si>
  <si>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</si>
  <si>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</si>
  <si>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</si>
  <si>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</si>
  <si>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</si>
  <si>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</si>
  <si>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</si>
  <si>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</si>
  <si>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</si>
  <si>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</si>
  <si>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</si>
  <si>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</si>
  <si>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</si>
  <si>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</si>
  <si>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</si>
  <si>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</si>
  <si>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</si>
  <si>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</si>
  <si>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</si>
  <si>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</si>
  <si>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</si>
  <si>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</si>
  <si>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</si>
  <si>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</si>
  <si>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</si>
  <si>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</si>
  <si>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</si>
  <si>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</si>
  <si>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</si>
  <si>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</si>
  <si>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</si>
  <si>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</si>
  <si>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</si>
  <si>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</si>
  <si>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</si>
  <si>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</si>
  <si>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</si>
  <si>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</si>
  <si>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</si>
  <si>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</si>
  <si>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</si>
  <si>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</si>
  <si>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</si>
  <si>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</si>
  <si>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</si>
  <si>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</si>
  <si>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</si>
  <si>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</si>
  <si>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</si>
  <si>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</si>
  <si>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</si>
  <si>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</si>
  <si>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</si>
  <si>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</si>
  <si>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</si>
  <si>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</si>
  <si>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</si>
  <si>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</si>
  <si>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</si>
  <si>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</si>
  <si>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</si>
  <si>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</si>
  <si>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</si>
  <si>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</si>
  <si>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</si>
  <si>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</si>
  <si>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</si>
  <si>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</si>
  <si>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</si>
  <si>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</si>
  <si>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</si>
  <si>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</si>
  <si>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</si>
  <si>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</si>
  <si>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</si>
  <si>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</si>
  <si>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</si>
  <si>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</si>
  <si>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</si>
  <si>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</si>
  <si>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</si>
  <si>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</si>
  <si>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</si>
  <si>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</si>
  <si>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</si>
  <si>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</si>
  <si>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</si>
  <si>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</si>
  <si>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</si>
  <si>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</si>
  <si>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</si>
  <si>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</si>
  <si>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</si>
  <si>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</si>
  <si>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</si>
  <si>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</si>
  <si>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</si>
  <si>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</si>
  <si>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</si>
  <si>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</si>
  <si>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</si>
  <si>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</si>
  <si>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</si>
  <si>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</si>
  <si>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</si>
  <si>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</si>
  <si>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</si>
  <si>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</si>
  <si>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</si>
  <si>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</si>
  <si>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</si>
  <si>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</si>
  <si>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</si>
  <si>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</si>
  <si>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</si>
  <si>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</si>
  <si>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</si>
  <si>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</si>
  <si>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</si>
  <si>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</si>
  <si>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</si>
  <si>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</si>
  <si>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</si>
  <si>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</si>
  <si>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</si>
  <si>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</si>
  <si>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</si>
  <si>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</si>
  <si>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</si>
  <si>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</si>
  <si>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</si>
  <si>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</si>
  <si>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</si>
  <si>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</si>
  <si>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</si>
  <si>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</si>
  <si>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</si>
  <si>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</si>
  <si>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</si>
  <si>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</si>
  <si>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</si>
  <si>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</si>
  <si>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</si>
  <si>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</si>
  <si>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</si>
  <si>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</si>
  <si>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</si>
  <si>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</si>
  <si>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</si>
  <si>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</si>
  <si>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</si>
  <si>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</si>
  <si>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</si>
  <si>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</si>
  <si>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</si>
  <si>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</si>
  <si>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</si>
  <si>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</si>
  <si>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</si>
  <si>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</si>
  <si>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</si>
  <si>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</si>
  <si>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</si>
  <si>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</si>
  <si>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</si>
  <si>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</si>
  <si>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</si>
  <si>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</si>
  <si>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</si>
  <si>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</si>
  <si>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</si>
  <si>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</si>
  <si>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</si>
  <si>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</si>
  <si>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</si>
  <si>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</si>
  <si>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</si>
  <si>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</si>
  <si>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</si>
  <si>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</si>
  <si>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</si>
  <si>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</si>
  <si>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</si>
  <si>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</si>
  <si>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</si>
  <si>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</si>
  <si>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</si>
  <si>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</si>
  <si>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</si>
  <si>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</si>
  <si>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</si>
  <si>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</si>
  <si>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</si>
  <si>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</si>
  <si>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</si>
  <si>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</si>
  <si>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</si>
  <si>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</si>
  <si>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</si>
  <si>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</si>
  <si>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</si>
  <si>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</si>
  <si>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</si>
  <si>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</si>
  <si>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</si>
  <si>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</si>
  <si>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</si>
  <si>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</si>
  <si>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</si>
  <si>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</si>
  <si>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</si>
  <si>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</si>
  <si>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</si>
  <si>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</si>
  <si>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</si>
  <si>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</si>
  <si>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</si>
  <si>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</si>
  <si>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</si>
  <si>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</si>
  <si>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</si>
  <si>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</si>
  <si>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</si>
  <si>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</si>
  <si>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</si>
  <si>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</si>
  <si>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</si>
  <si>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</si>
  <si>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</si>
  <si>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</si>
  <si>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</si>
  <si>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</si>
  <si>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</si>
  <si>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</si>
  <si>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</si>
  <si>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</si>
  <si>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</si>
  <si>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</si>
  <si>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</si>
  <si>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</si>
  <si>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</si>
  <si>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</si>
  <si>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</si>
  <si>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</si>
  <si>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</si>
  <si>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</si>
  <si>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</si>
  <si>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</si>
  <si>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</si>
  <si>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</si>
  <si>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</si>
  <si>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</si>
  <si>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</si>
  <si>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</si>
  <si>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</si>
  <si>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</si>
  <si>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</si>
  <si>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</si>
  <si>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</si>
  <si>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</si>
  <si>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</si>
  <si>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</si>
  <si>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</si>
  <si>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</si>
  <si>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</si>
  <si>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</si>
  <si>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</si>
  <si>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</si>
  <si>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</si>
  <si>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</si>
  <si>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</si>
  <si>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</si>
  <si>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</si>
  <si>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</si>
  <si>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</si>
  <si>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</si>
  <si>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</si>
  <si>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</si>
  <si>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</si>
  <si>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</si>
  <si>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</si>
  <si>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</si>
  <si>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</si>
  <si>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</si>
  <si>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</si>
  <si>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</si>
  <si>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</si>
  <si>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</si>
  <si>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</si>
  <si>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</si>
  <si>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</si>
  <si>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</si>
  <si>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</si>
  <si>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</si>
  <si>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</si>
  <si>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</si>
  <si>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</si>
  <si>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</si>
  <si>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</si>
  <si>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</si>
  <si>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</si>
  <si>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</si>
  <si>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</si>
  <si>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</si>
  <si>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</si>
  <si>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</si>
  <si>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</si>
  <si>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</si>
  <si>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</si>
  <si>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</si>
  <si>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</si>
  <si>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</si>
  <si>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</si>
  <si>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</si>
  <si>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</si>
  <si>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</si>
  <si>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</si>
  <si>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</si>
  <si>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</si>
  <si>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</si>
  <si>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</si>
  <si>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</si>
  <si>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</si>
  <si>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</si>
  <si>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</si>
  <si>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</si>
  <si>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</si>
  <si>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</si>
  <si>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</si>
  <si>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</si>
  <si>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</si>
  <si>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</si>
  <si>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</si>
  <si>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</si>
  <si>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</si>
  <si>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</si>
  <si>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</si>
  <si>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</si>
  <si>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</si>
  <si>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</si>
  <si>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</si>
  <si>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</si>
  <si>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</si>
  <si>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</si>
  <si>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</si>
  <si>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</si>
  <si>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</si>
  <si>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</si>
  <si>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</si>
  <si>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</si>
  <si>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</si>
  <si>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</si>
  <si>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</si>
  <si>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</si>
  <si>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</si>
  <si>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</si>
  <si>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</si>
  <si>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</si>
  <si>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</si>
  <si>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</si>
  <si>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</si>
  <si>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</si>
  <si>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</si>
  <si>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</si>
  <si>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</si>
  <si>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</si>
  <si>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</si>
  <si>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</si>
  <si>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</si>
  <si>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</si>
  <si>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</si>
  <si>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</si>
  <si>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</si>
  <si>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</si>
  <si>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</si>
  <si>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</si>
  <si>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</si>
  <si>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</si>
  <si>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</si>
  <si>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</si>
  <si>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</si>
  <si>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</si>
  <si>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</si>
  <si>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</si>
  <si>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</si>
  <si>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</si>
  <si>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</si>
  <si>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</si>
  <si>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</si>
  <si>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</si>
  <si>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</si>
  <si>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</si>
  <si>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</si>
  <si>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</si>
  <si>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</si>
  <si>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</si>
  <si>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</si>
  <si>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</si>
  <si>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</si>
  <si>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</si>
  <si>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</si>
  <si>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</si>
  <si>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</si>
  <si>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</si>
  <si>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</si>
  <si>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</si>
  <si>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</si>
  <si>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</si>
  <si>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</si>
  <si>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</si>
  <si>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</si>
  <si>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</si>
  <si>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</si>
  <si>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</si>
  <si>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</si>
  <si>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</si>
  <si>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</si>
  <si>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</si>
  <si>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</si>
  <si>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</si>
  <si>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</si>
  <si>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</si>
  <si>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</si>
  <si>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</si>
  <si>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</si>
  <si>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</si>
  <si>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</si>
  <si>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</si>
  <si>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</si>
  <si>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</si>
  <si>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</si>
  <si>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</si>
  <si>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</si>
  <si>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</si>
  <si>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</si>
  <si>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</si>
  <si>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</si>
  <si>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</si>
  <si>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</si>
  <si>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</si>
  <si>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</si>
  <si>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</si>
  <si>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</si>
  <si>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</si>
  <si>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</si>
  <si>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</si>
  <si>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</si>
  <si>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</si>
  <si>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</si>
  <si>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</si>
  <si>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</si>
  <si>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</si>
  <si>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</si>
  <si>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</si>
  <si>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</si>
  <si>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</si>
  <si>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</si>
  <si>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</si>
  <si>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</si>
  <si>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</si>
  <si>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</si>
  <si>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</si>
  <si>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</si>
  <si>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</si>
  <si>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</si>
  <si>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</si>
  <si>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</si>
  <si>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</si>
  <si>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</si>
  <si>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</si>
  <si>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</si>
  <si>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</si>
  <si>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</si>
  <si>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</si>
  <si>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</si>
  <si>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</si>
  <si>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</si>
  <si>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</si>
  <si>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</si>
  <si>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</si>
  <si>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</si>
  <si>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</si>
  <si>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</si>
  <si>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</si>
  <si>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</si>
  <si>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</si>
  <si>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</si>
  <si>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</si>
  <si>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</si>
  <si>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</si>
  <si>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</si>
  <si>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</si>
  <si>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</si>
  <si>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</si>
  <si>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</si>
  <si>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</si>
  <si>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</si>
  <si>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</si>
  <si>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</si>
  <si>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</si>
  <si>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</si>
  <si>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</si>
  <si>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</si>
  <si>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</si>
  <si>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</si>
  <si>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</si>
  <si>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</si>
  <si>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</si>
  <si>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</si>
  <si>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</si>
  <si>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</si>
  <si>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INITIAL DATA ANALYSIS</t>
  </si>
  <si>
    <t>Dataset Overview</t>
  </si>
  <si>
    <t>Total Machines</t>
  </si>
  <si>
    <t>Total Failures</t>
  </si>
  <si>
    <t>Overall Failure Rate</t>
  </si>
  <si>
    <t>Failure by Product Type</t>
  </si>
  <si>
    <t>Failures</t>
  </si>
  <si>
    <t>Failure Rate</t>
  </si>
  <si>
    <t>Operating Conditions</t>
  </si>
  <si>
    <t>Variable</t>
  </si>
  <si>
    <t>Average</t>
  </si>
  <si>
    <t>Minimum</t>
  </si>
  <si>
    <t>Maximum</t>
  </si>
  <si>
    <t>Air Temperature</t>
  </si>
  <si>
    <t>Process Temperature</t>
  </si>
  <si>
    <t>Rotational Speed</t>
  </si>
  <si>
    <t>Torque</t>
  </si>
  <si>
    <t>Tool Wear</t>
  </si>
  <si>
    <t>FAILURE MODE ANALYSIS</t>
  </si>
  <si>
    <t>Failure Mode Overview</t>
  </si>
  <si>
    <t>Failure Mode</t>
  </si>
  <si>
    <t>Occurences</t>
  </si>
  <si>
    <t>Percentage of All Records</t>
  </si>
  <si>
    <t>Failure Mode vs Machine Failure</t>
  </si>
  <si>
    <t>Metric</t>
  </si>
  <si>
    <t>Value</t>
  </si>
  <si>
    <t>Total Machine Failures</t>
  </si>
  <si>
    <t>Total Failure-Mode Occurences</t>
  </si>
  <si>
    <t>Difference</t>
  </si>
  <si>
    <t>OPERATING CONDITIONS ANALYSIS</t>
  </si>
  <si>
    <t>Operating Conditions: Failed vs Non-Failed Machines</t>
  </si>
  <si>
    <t>Non-Failed Average</t>
  </si>
  <si>
    <t>Failed Average</t>
  </si>
  <si>
    <t>Torque Failure Analysis</t>
  </si>
  <si>
    <t>Torque Range</t>
  </si>
  <si>
    <t>&lt; 20</t>
  </si>
  <si>
    <t>20-30</t>
  </si>
  <si>
    <t>30-40</t>
  </si>
  <si>
    <t>40-50</t>
  </si>
  <si>
    <t>50-60</t>
  </si>
  <si>
    <t>≥ 60</t>
  </si>
  <si>
    <t>Tool Wear Failure Analysis</t>
  </si>
  <si>
    <t>Tool Wear Range</t>
  </si>
  <si>
    <t>0-50</t>
  </si>
  <si>
    <t>50-100</t>
  </si>
  <si>
    <t>100-150</t>
  </si>
  <si>
    <t>200-250</t>
  </si>
  <si>
    <t>≥ 250</t>
  </si>
  <si>
    <t>150-200</t>
  </si>
  <si>
    <t>Rotational Speed Failure Analysis</t>
  </si>
  <si>
    <t>RPM Range</t>
  </si>
  <si>
    <t>&lt; 1300</t>
  </si>
  <si>
    <t>1300-1500</t>
  </si>
  <si>
    <t>1500-1700</t>
  </si>
  <si>
    <t>1700-1900</t>
  </si>
  <si>
    <t>1900-2200</t>
  </si>
  <si>
    <t>≥ 2200</t>
  </si>
  <si>
    <t>Air Temperature (K)</t>
  </si>
  <si>
    <t>Process Temperature (K)</t>
  </si>
  <si>
    <t>Rotational Speed (RPM)</t>
  </si>
  <si>
    <t>Torque (Nm)</t>
  </si>
  <si>
    <t>Tool Wear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</si>
</sst>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10" fontId="0" fillId="0" borderId="0" xfId="42" applyNumberFormat="1" applyFont="1"/>
    <xf numFmtId="10" fontId="0" fillId="0" borderId="0" xfId="0" applyNumberFormat="1"/>
    <xf numFmtId="0" fontId="18" fillId="0" borderId="0" xfId="0" applyFon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3350-43F4-4E2A-A180-E45CDB6518A6}">
  <dimension ref="A1:N10001"/>
  <sheetViews>
    <sheetView workbookViewId="0">
      <selection activeCell="E8" sqref="E8"/>
    </sheetView>
  </sheetViews>
  <sheetFormatPr defaultRowHeight="14.4" x14ac:dyDescent="0.3"/>
  <cols>
    <col min="1" max="1" width="6" bestFit="1" customWidth="1"/>
    <col min="2" max="2" width="9.5546875" bestFit="1" customWidth="1"/>
    <col min="3" max="3" width="4.88671875" bestFit="1" customWidth="1"/>
    <col min="4" max="4" width="16.77734375" bestFit="1" customWidth="1"/>
    <col min="5" max="5" width="20.88671875" bestFit="1" customWidth="1"/>
    <col min="6" max="6" width="20" bestFit="1" customWidth="1"/>
    <col min="7" max="7" width="11.44140625" bestFit="1" customWidth="1"/>
    <col min="8" max="8" width="14.109375" bestFit="1" customWidth="1"/>
    <col min="9" max="9" width="13.77734375" bestFit="1" customWidth="1"/>
    <col min="10" max="10" width="4.6640625" bestFit="1" customWidth="1"/>
    <col min="11" max="11" width="4.33203125" bestFit="1" customWidth="1"/>
    <col min="12" max="12" width="4.6640625" bestFit="1" customWidth="1"/>
    <col min="13" max="13" width="4.109375" bestFit="1" customWidth="1"/>
    <col min="14" max="14" width="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F375-26AA-492D-810D-6089A547EC2E}">
  <dimension ref="A1:D23"/>
  <sheetViews>
    <sheetView workbookViewId="0">
      <selection activeCell="D23" sqref="D23"/>
    </sheetView>
  </sheetViews>
  <sheetFormatPr defaultRowHeight="14.4" x14ac:dyDescent="0.3"/>
  <cols>
    <col min="1" max="1" width="21.109375" bestFit="1" customWidth="1"/>
    <col min="2" max="2" width="13.5546875" bestFit="1" customWidth="1"/>
    <col min="3" max="3" width="8.6640625" bestFit="1" customWidth="1"/>
    <col min="4" max="4" width="10.6640625" bestFit="1" customWidth="1"/>
  </cols>
  <sheetData>
    <row r="1" spans="1:4" x14ac:dyDescent="0.3">
      <c r="A1" s="1" t="s">
        <v>10017</v>
      </c>
    </row>
    <row r="3" spans="1:4" x14ac:dyDescent="0.3">
      <c r="A3" t="s">
        <v>10018</v>
      </c>
    </row>
    <row r="4" spans="1:4" x14ac:dyDescent="0.3">
      <c r="A4" t="s">
        <v>10019</v>
      </c>
      <c r="B4">
        <f>COUNTA(Raw_Data!A2:A10001)</f>
        <v>10000</v>
      </c>
    </row>
    <row r="5" spans="1:4" x14ac:dyDescent="0.3">
      <c r="A5" t="s">
        <v>10020</v>
      </c>
      <c r="B5">
        <f>SUM(Raw_Data!I2:I10001)</f>
        <v>339</v>
      </c>
    </row>
    <row r="6" spans="1:4" x14ac:dyDescent="0.3">
      <c r="A6" t="s">
        <v>10021</v>
      </c>
      <c r="B6" s="2">
        <f>B5/B4</f>
        <v>3.39E-2</v>
      </c>
    </row>
    <row r="9" spans="1:4" x14ac:dyDescent="0.3">
      <c r="A9" t="s">
        <v>10022</v>
      </c>
    </row>
    <row r="10" spans="1:4" x14ac:dyDescent="0.3">
      <c r="A10" t="s">
        <v>2</v>
      </c>
      <c r="B10" t="s">
        <v>10019</v>
      </c>
      <c r="C10" t="s">
        <v>10023</v>
      </c>
      <c r="D10" t="s">
        <v>10024</v>
      </c>
    </row>
    <row r="11" spans="1:4" x14ac:dyDescent="0.3">
      <c r="A11" t="s">
        <v>17</v>
      </c>
      <c r="B11">
        <f>COUNTIF(Raw_Data!C2:C10001,A11)</f>
        <v>6000</v>
      </c>
      <c r="C11">
        <f>COUNTIFS(Raw_Data!C2:C10001,A11,Raw_Data!I2:I10001,1)</f>
        <v>235</v>
      </c>
      <c r="D11" s="3">
        <f>C11/B11</f>
        <v>3.9166666666666669E-2</v>
      </c>
    </row>
    <row r="12" spans="1:4" x14ac:dyDescent="0.3">
      <c r="A12" t="s">
        <v>15</v>
      </c>
      <c r="B12">
        <f>COUNTIF(Raw_Data!C2:C10001,A12)</f>
        <v>2997</v>
      </c>
      <c r="C12">
        <f>COUNTIFS(Raw_Data!C2:C10001,A12,Raw_Data!I2:I10001,1)</f>
        <v>83</v>
      </c>
      <c r="D12" s="3">
        <f t="shared" ref="D12:D13" si="0">C12/B12</f>
        <v>2.7694361027694361E-2</v>
      </c>
    </row>
    <row r="13" spans="1:4" x14ac:dyDescent="0.3">
      <c r="A13" t="s">
        <v>27</v>
      </c>
      <c r="B13">
        <f>COUNTIF(Raw_Data!C2:C10001,A13)</f>
        <v>1003</v>
      </c>
      <c r="C13">
        <f>COUNTIFS(Raw_Data!C2:C10001,A13,Raw_Data!I2:I10001,1)</f>
        <v>21</v>
      </c>
      <c r="D13" s="3">
        <f t="shared" si="0"/>
        <v>2.0937188434695914E-2</v>
      </c>
    </row>
    <row r="17" spans="1:4" x14ac:dyDescent="0.3">
      <c r="A17" t="s">
        <v>10025</v>
      </c>
    </row>
    <row r="18" spans="1:4" x14ac:dyDescent="0.3">
      <c r="A18" t="s">
        <v>10026</v>
      </c>
      <c r="B18" t="s">
        <v>10027</v>
      </c>
      <c r="C18" t="s">
        <v>10028</v>
      </c>
      <c r="D18" t="s">
        <v>10029</v>
      </c>
    </row>
    <row r="19" spans="1:4" x14ac:dyDescent="0.3">
      <c r="A19" t="s">
        <v>10030</v>
      </c>
      <c r="B19">
        <f>AVERAGE(Raw_Data!D2:D10001)</f>
        <v>300.00492999999875</v>
      </c>
      <c r="C19">
        <f>MIN(Raw_Data!D2:D10001)</f>
        <v>295.3</v>
      </c>
      <c r="D19">
        <f>MAX(Raw_Data!D2:D10001)</f>
        <v>304.5</v>
      </c>
    </row>
    <row r="20" spans="1:4" x14ac:dyDescent="0.3">
      <c r="A20" t="s">
        <v>10031</v>
      </c>
      <c r="B20">
        <f>AVERAGE(Raw_Data!E2:E10001)</f>
        <v>310.00555999999995</v>
      </c>
      <c r="C20">
        <f>MIN(Raw_Data!E2:E10001)</f>
        <v>305.7</v>
      </c>
      <c r="D20">
        <f>MAX(Raw_Data!E2:E10001)</f>
        <v>313.8</v>
      </c>
    </row>
    <row r="21" spans="1:4" x14ac:dyDescent="0.3">
      <c r="A21" t="s">
        <v>10032</v>
      </c>
      <c r="B21">
        <f>AVERAGE(Raw_Data!F2:F10001)</f>
        <v>1538.7761</v>
      </c>
      <c r="C21">
        <f>MIN(Raw_Data!F2:F10001)</f>
        <v>1168</v>
      </c>
      <c r="D21">
        <f>MAX(Raw_Data!F2:F10001)</f>
        <v>2886</v>
      </c>
    </row>
    <row r="22" spans="1:4" x14ac:dyDescent="0.3">
      <c r="A22" t="s">
        <v>10033</v>
      </c>
      <c r="B22">
        <f>AVERAGE(Raw_Data!G2:G10001)</f>
        <v>39.986909999999995</v>
      </c>
      <c r="C22">
        <f>MIN(Raw_Data!G2:G10001)</f>
        <v>3.8</v>
      </c>
      <c r="D22">
        <f>MAX(Raw_Data!G2:G10001)</f>
        <v>76.599999999999994</v>
      </c>
    </row>
    <row r="23" spans="1:4" x14ac:dyDescent="0.3">
      <c r="A23" t="s">
        <v>10034</v>
      </c>
      <c r="B23">
        <f>AVERAGE(Raw_Data!H2:H10001)</f>
        <v>107.95099999999999</v>
      </c>
      <c r="C23">
        <f>MIN(Raw_Data!H2:H10001)</f>
        <v>0</v>
      </c>
      <c r="D23">
        <f>MAX(Raw_Data!H2:H10001)</f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AB02-7D58-4EAE-8663-97716B40C42C}">
  <dimension ref="A1:C16"/>
  <sheetViews>
    <sheetView workbookViewId="0">
      <selection activeCell="D19" sqref="D19"/>
    </sheetView>
  </sheetViews>
  <sheetFormatPr defaultRowHeight="14.4" x14ac:dyDescent="0.3"/>
  <cols>
    <col min="1" max="1" width="27.5546875" bestFit="1" customWidth="1"/>
    <col min="2" max="2" width="10.44140625" bestFit="1" customWidth="1"/>
    <col min="3" max="3" width="22.109375" bestFit="1" customWidth="1"/>
  </cols>
  <sheetData>
    <row r="1" spans="1:3" x14ac:dyDescent="0.3">
      <c r="A1" s="1" t="s">
        <v>10035</v>
      </c>
    </row>
    <row r="3" spans="1:3" x14ac:dyDescent="0.3">
      <c r="A3" t="s">
        <v>10036</v>
      </c>
    </row>
    <row r="4" spans="1:3" x14ac:dyDescent="0.3">
      <c r="A4" t="s">
        <v>10037</v>
      </c>
      <c r="B4" t="s">
        <v>10038</v>
      </c>
      <c r="C4" t="s">
        <v>10039</v>
      </c>
    </row>
    <row r="5" spans="1:3" x14ac:dyDescent="0.3">
      <c r="A5" t="s">
        <v>9</v>
      </c>
      <c r="B5">
        <f>SUM(Raw_Data!J2:J10001)</f>
        <v>46</v>
      </c>
      <c r="C5" s="3">
        <f>B5/COUNTA(Raw_Data!A2:A10001)</f>
        <v>4.5999999999999999E-3</v>
      </c>
    </row>
    <row r="6" spans="1:3" x14ac:dyDescent="0.3">
      <c r="A6" t="s">
        <v>10</v>
      </c>
      <c r="B6">
        <f>SUM(Raw_Data!K2:K10001)</f>
        <v>115</v>
      </c>
      <c r="C6" s="3">
        <f>B6/COUNTA(Raw_Data!A2:A10001)</f>
        <v>1.15E-2</v>
      </c>
    </row>
    <row r="7" spans="1:3" x14ac:dyDescent="0.3">
      <c r="A7" t="s">
        <v>11</v>
      </c>
      <c r="B7">
        <f>SUM(Raw_Data!L2:L10001)</f>
        <v>95</v>
      </c>
      <c r="C7" s="3">
        <f>B7/COUNTA(Raw_Data!A2:A10001)</f>
        <v>9.4999999999999998E-3</v>
      </c>
    </row>
    <row r="8" spans="1:3" x14ac:dyDescent="0.3">
      <c r="A8" t="s">
        <v>12</v>
      </c>
      <c r="B8">
        <f>SUM(Raw_Data!M2:M10001)</f>
        <v>98</v>
      </c>
      <c r="C8" s="3">
        <f>B8/COUNTA(Raw_Data!A2:A10001)</f>
        <v>9.7999999999999997E-3</v>
      </c>
    </row>
    <row r="9" spans="1:3" x14ac:dyDescent="0.3">
      <c r="A9" t="s">
        <v>13</v>
      </c>
      <c r="B9">
        <f>SUM(Raw_Data!N2:N10001)</f>
        <v>19</v>
      </c>
      <c r="C9" s="3">
        <f>B9/COUNTA(Raw_Data!A2:A10001)</f>
        <v>1.9E-3</v>
      </c>
    </row>
    <row r="12" spans="1:3" x14ac:dyDescent="0.3">
      <c r="A12" t="s">
        <v>10040</v>
      </c>
    </row>
    <row r="13" spans="1:3" x14ac:dyDescent="0.3">
      <c r="A13" t="s">
        <v>10041</v>
      </c>
      <c r="B13" t="s">
        <v>10042</v>
      </c>
    </row>
    <row r="14" spans="1:3" x14ac:dyDescent="0.3">
      <c r="A14" t="s">
        <v>10043</v>
      </c>
      <c r="B14">
        <f>Initial_Analysis!B5</f>
        <v>339</v>
      </c>
    </row>
    <row r="15" spans="1:3" x14ac:dyDescent="0.3">
      <c r="A15" t="s">
        <v>10044</v>
      </c>
      <c r="B15">
        <f>SUM(B5:B9)</f>
        <v>373</v>
      </c>
    </row>
    <row r="16" spans="1:3" x14ac:dyDescent="0.3">
      <c r="A16" t="s">
        <v>10045</v>
      </c>
      <c r="B16">
        <f>B15-B14</f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0087-7BAC-4050-9B5E-B42CC33EDB2D}">
  <dimension ref="A1:D43"/>
  <sheetViews>
    <sheetView tabSelected="1" zoomScaleNormal="100" workbookViewId="0">
      <selection activeCell="A13" sqref="A13"/>
    </sheetView>
  </sheetViews>
  <sheetFormatPr defaultRowHeight="14.4" x14ac:dyDescent="0.3"/>
  <cols>
    <col min="1" max="1" width="44.44140625" bestFit="1" customWidth="1"/>
    <col min="2" max="2" width="17" bestFit="1" customWidth="1"/>
    <col min="3" max="3" width="12.77734375" bestFit="1" customWidth="1"/>
    <col min="4" max="4" width="12.6640625" bestFit="1" customWidth="1"/>
  </cols>
  <sheetData>
    <row r="1" spans="1:4" x14ac:dyDescent="0.3">
      <c r="A1" s="1" t="s">
        <v>10046</v>
      </c>
    </row>
    <row r="3" spans="1:4" x14ac:dyDescent="0.3">
      <c r="A3" t="s">
        <v>10047</v>
      </c>
    </row>
    <row r="5" spans="1:4" x14ac:dyDescent="0.3">
      <c r="A5" t="s">
        <v>10026</v>
      </c>
      <c r="B5" t="s">
        <v>10048</v>
      </c>
      <c r="C5" t="s">
        <v>10049</v>
      </c>
      <c r="D5" t="s">
        <v>10045</v>
      </c>
    </row>
    <row r="6" spans="1:4" x14ac:dyDescent="0.3">
      <c r="A6" t="s">
        <v>10074</v>
      </c>
      <c r="B6" s="5">
        <f>AVERAGEIFS(Raw_Data!D2:D10001,Raw_Data!I2:I10001,0)</f>
        <v>299.9739985508732</v>
      </c>
      <c r="C6" s="5">
        <f>AVERAGEIFS(Raw_Data!D2:D10001,Raw_Data!I2:I10001,1)</f>
        <v>300.88643067846601</v>
      </c>
      <c r="D6" s="5">
        <f>C6-B6</f>
        <v>0.91243212759280823</v>
      </c>
    </row>
    <row r="7" spans="1:4" x14ac:dyDescent="0.3">
      <c r="A7" t="s">
        <v>10075</v>
      </c>
      <c r="B7" s="5">
        <f>AVERAGEIFS(Raw_Data!E2:E10001,Raw_Data!I2:I10001,0)</f>
        <v>309.99556981678882</v>
      </c>
      <c r="C7" s="5">
        <f>AVERAGEIFS(Raw_Data!E2:E10001,Raw_Data!I2:I10001,1)</f>
        <v>310.2902654867255</v>
      </c>
      <c r="D7" s="5">
        <f>C7-B7</f>
        <v>0.2946956699366865</v>
      </c>
    </row>
    <row r="8" spans="1:4" x14ac:dyDescent="0.3">
      <c r="A8" t="s">
        <v>10076</v>
      </c>
      <c r="B8" s="5">
        <f>AVERAGEIFS(Raw_Data!F2:F10001,Raw_Data!I2:I10001,0)</f>
        <v>1540.2600144912535</v>
      </c>
      <c r="C8" s="5">
        <f>AVERAGEIFS(Raw_Data!F2:F10001,Raw_Data!I2:I10001,1)</f>
        <v>1496.4867256637169</v>
      </c>
      <c r="D8" s="5">
        <f t="shared" ref="D8:D10" si="0">C8-B8</f>
        <v>-43.773288827536589</v>
      </c>
    </row>
    <row r="9" spans="1:4" x14ac:dyDescent="0.3">
      <c r="A9" t="s">
        <v>10077</v>
      </c>
      <c r="B9" s="5">
        <f>AVERAGEIFS(Raw_Data!G2:G10001,Raw_Data!I2:I10001,0)</f>
        <v>39.629655315184763</v>
      </c>
      <c r="C9" s="5">
        <f>AVERAGEIFS(Raw_Data!G2:G10001,Raw_Data!I2:I10001,1)</f>
        <v>50.168141592920364</v>
      </c>
      <c r="D9" s="5">
        <f t="shared" si="0"/>
        <v>10.538486277735601</v>
      </c>
    </row>
    <row r="10" spans="1:4" x14ac:dyDescent="0.3">
      <c r="A10" t="s">
        <v>10078</v>
      </c>
      <c r="B10" s="5">
        <f>AVERAGEIFS(Raw_Data!H2:H10001,Raw_Data!I2:I10001,0)</f>
        <v>106.69371700652107</v>
      </c>
      <c r="C10" s="5">
        <f>AVERAGEIFS(Raw_Data!H2:H10001,Raw_Data!I2:I10001,1)</f>
        <v>143.78171091445427</v>
      </c>
      <c r="D10" s="5">
        <f t="shared" si="0"/>
        <v>37.087993907933196</v>
      </c>
    </row>
    <row r="13" spans="1:4" x14ac:dyDescent="0.3">
      <c r="A13" t="s">
        <v>10050</v>
      </c>
    </row>
    <row r="15" spans="1:4" x14ac:dyDescent="0.3">
      <c r="A15" t="s">
        <v>10051</v>
      </c>
      <c r="B15" t="s">
        <v>10019</v>
      </c>
      <c r="C15" t="s">
        <v>10023</v>
      </c>
      <c r="D15" t="s">
        <v>10024</v>
      </c>
    </row>
    <row r="16" spans="1:4" x14ac:dyDescent="0.3">
      <c r="A16" t="s">
        <v>10052</v>
      </c>
      <c r="B16">
        <f>COUNTIF(Raw_Data!G2:G10001,"&lt;20")</f>
        <v>228</v>
      </c>
      <c r="C16">
        <f>COUNTIFS(Raw_Data!G2:G10001,"&lt;20",Raw_Data!I2:I10001,1)</f>
        <v>34</v>
      </c>
      <c r="D16" s="3">
        <f>C16/B16</f>
        <v>0.14912280701754385</v>
      </c>
    </row>
    <row r="17" spans="1:4" x14ac:dyDescent="0.3">
      <c r="A17" t="s">
        <v>10053</v>
      </c>
      <c r="B17">
        <f>COUNTIFS(Raw_Data!G2:G10001,"&gt;=20",Raw_Data!G2:G10001,"&lt;30")</f>
        <v>1348</v>
      </c>
      <c r="C17">
        <f>COUNTIFS(Raw_Data!G2:G10001,"&gt;=20",Raw_Data!G2:G10001,"&lt;30",Raw_Data!I2:I10001,1)</f>
        <v>9</v>
      </c>
      <c r="D17" s="3">
        <f>C17/B17</f>
        <v>6.6765578635014835E-3</v>
      </c>
    </row>
    <row r="18" spans="1:4" x14ac:dyDescent="0.3">
      <c r="A18" t="s">
        <v>10054</v>
      </c>
      <c r="B18">
        <f>COUNTIFS(Raw_Data!G2:G10001,"&gt;=30",Raw_Data!G2:G10001,"&lt;40")</f>
        <v>3364</v>
      </c>
      <c r="C18">
        <f>COUNTIFS(Raw_Data!G2:G10001,"&gt;=30",Raw_Data!G2:G10001,"&lt;40",Raw_Data!I2:I10001,1)</f>
        <v>19</v>
      </c>
      <c r="D18" s="3">
        <f>C18/B18</f>
        <v>5.6480380499405467E-3</v>
      </c>
    </row>
    <row r="19" spans="1:4" x14ac:dyDescent="0.3">
      <c r="A19" t="s">
        <v>10055</v>
      </c>
      <c r="B19">
        <f>COUNTIFS(Raw_Data!G2:G10001,"&gt;=40",Raw_Data!G2:G10001,"&lt;50")</f>
        <v>3487</v>
      </c>
      <c r="C19">
        <f>COUNTIFS(Raw_Data!G2:G10001,"&gt;=40",Raw_Data!G2:G10001,"&lt;50",Raw_Data!I2:I10001,1)</f>
        <v>66</v>
      </c>
      <c r="D19" s="3">
        <f>C19/B19</f>
        <v>1.8927444794952682E-2</v>
      </c>
    </row>
    <row r="20" spans="1:4" x14ac:dyDescent="0.3">
      <c r="A20" t="s">
        <v>10056</v>
      </c>
      <c r="B20">
        <f>COUNTIFS(Raw_Data!G2:G10001,"&gt;=50",Raw_Data!G2:G10001,"&lt;60")</f>
        <v>1334</v>
      </c>
      <c r="C20">
        <f>COUNTIFS(Raw_Data!G2:G10001,"&gt;=50",Raw_Data!G2:G10001,"&lt;60",Raw_Data!I2:I10001,1)</f>
        <v>111</v>
      </c>
      <c r="D20" s="3">
        <f>C20/B20</f>
        <v>8.3208395802098947E-2</v>
      </c>
    </row>
    <row r="21" spans="1:4" x14ac:dyDescent="0.3">
      <c r="A21" s="4" t="s">
        <v>10057</v>
      </c>
      <c r="B21">
        <f>COUNTIF(Raw_Data!G2:G10001,"&gt;=60")</f>
        <v>239</v>
      </c>
      <c r="C21">
        <f>COUNTIFS(Raw_Data!G2:G10001,"&gt;=60",Raw_Data!I2:I10001,1)</f>
        <v>100</v>
      </c>
      <c r="D21" s="3">
        <f>C21/B21</f>
        <v>0.41841004184100417</v>
      </c>
    </row>
    <row r="24" spans="1:4" x14ac:dyDescent="0.3">
      <c r="A24" t="s">
        <v>10058</v>
      </c>
    </row>
    <row r="26" spans="1:4" x14ac:dyDescent="0.3">
      <c r="A26" t="s">
        <v>10059</v>
      </c>
      <c r="B26" t="s">
        <v>10019</v>
      </c>
      <c r="C26" t="s">
        <v>10023</v>
      </c>
      <c r="D26" t="s">
        <v>10024</v>
      </c>
    </row>
    <row r="27" spans="1:4" x14ac:dyDescent="0.3">
      <c r="A27" t="s">
        <v>10060</v>
      </c>
      <c r="B27">
        <f>COUNTIFS(Raw_Data!H2:H10001,"&gt;=0",Raw_Data!H2:H10001,"&lt;50")</f>
        <v>2349</v>
      </c>
      <c r="C27">
        <f>COUNTIFS(Raw_Data!H2:H10001,"&gt;=0",Raw_Data!H2:H10001,"&lt;50",Raw_Data!I2:I10001,1)</f>
        <v>52</v>
      </c>
      <c r="D27" s="3">
        <f>C27/B27</f>
        <v>2.2137079608343976E-2</v>
      </c>
    </row>
    <row r="28" spans="1:4" x14ac:dyDescent="0.3">
      <c r="A28" t="s">
        <v>10061</v>
      </c>
      <c r="B28">
        <f>COUNTIFS(Raw_Data!H2:H10001,"&gt;=50",Raw_Data!H2:H10001,"&lt;100")</f>
        <v>2271</v>
      </c>
      <c r="C28">
        <f>COUNTIFS(Raw_Data!H2:H10001,"&gt;=50",Raw_Data!H2:H10001,"&lt;100",Raw_Data!I2:I10001,1)</f>
        <v>51</v>
      </c>
      <c r="D28" s="3">
        <f t="shared" ref="D28:D32" si="1">C28/B28</f>
        <v>2.2457067371202115E-2</v>
      </c>
    </row>
    <row r="29" spans="1:4" x14ac:dyDescent="0.3">
      <c r="A29" t="s">
        <v>10062</v>
      </c>
      <c r="B29">
        <f>COUNTIFS(Raw_Data!H2:H10001,"&gt;=100",Raw_Data!H2:H10001,"&lt;150")</f>
        <v>2290</v>
      </c>
      <c r="C29">
        <f>COUNTIFS(Raw_Data!H2:H10001,"&gt;=100",Raw_Data!H2:H10001,"&lt;150",Raw_Data!I2:I10001,1)</f>
        <v>52</v>
      </c>
      <c r="D29" s="3">
        <f t="shared" si="1"/>
        <v>2.2707423580786028E-2</v>
      </c>
    </row>
    <row r="30" spans="1:4" x14ac:dyDescent="0.3">
      <c r="A30" t="s">
        <v>10065</v>
      </c>
      <c r="B30">
        <f>COUNTIFS(Raw_Data!H2:H10001,"&gt;=150",Raw_Data!H2:H10001,"&lt;200")</f>
        <v>2289</v>
      </c>
      <c r="C30">
        <f>COUNTIFS(Raw_Data!H2:H10001,"&gt;=150",Raw_Data!H2:H10001,"&lt;200",Raw_Data!I2:I10001,1)</f>
        <v>61</v>
      </c>
      <c r="D30" s="3">
        <f t="shared" si="1"/>
        <v>2.6649191786806466E-2</v>
      </c>
    </row>
    <row r="31" spans="1:4" x14ac:dyDescent="0.3">
      <c r="A31" t="s">
        <v>10063</v>
      </c>
      <c r="B31">
        <f>COUNTIFS(Raw_Data!H2:H10001,"&gt;=200",Raw_Data!H2:H10001,"&lt;250")</f>
        <v>799</v>
      </c>
      <c r="C31">
        <f>COUNTIFS(Raw_Data!H2:H10001,"&gt;=200",Raw_Data!H2:H10001,"&lt;250",Raw_Data!I2:I10001,1)</f>
        <v>121</v>
      </c>
      <c r="D31" s="3">
        <f t="shared" si="1"/>
        <v>0.15143929912390489</v>
      </c>
    </row>
    <row r="32" spans="1:4" x14ac:dyDescent="0.3">
      <c r="A32" s="4" t="s">
        <v>10064</v>
      </c>
      <c r="B32">
        <f>COUNTIF(Raw_Data!H2:H10001,"&gt;=250")</f>
        <v>2</v>
      </c>
      <c r="C32">
        <f>COUNTIFS(Raw_Data!H2:H10001,"&gt;=250",Raw_Data!I2:I10001,1)</f>
        <v>2</v>
      </c>
      <c r="D32" s="3">
        <f t="shared" si="1"/>
        <v>1</v>
      </c>
    </row>
    <row r="35" spans="1:4" x14ac:dyDescent="0.3">
      <c r="A35" t="s">
        <v>10066</v>
      </c>
    </row>
    <row r="37" spans="1:4" x14ac:dyDescent="0.3">
      <c r="A37" t="s">
        <v>10067</v>
      </c>
      <c r="B37" t="s">
        <v>10019</v>
      </c>
      <c r="C37" t="s">
        <v>10023</v>
      </c>
      <c r="D37" t="s">
        <v>10024</v>
      </c>
    </row>
    <row r="38" spans="1:4" x14ac:dyDescent="0.3">
      <c r="A38" t="s">
        <v>10068</v>
      </c>
      <c r="B38">
        <f>COUNTIF(Raw_Data!F2:F10001,"&lt;1300")</f>
        <v>211</v>
      </c>
      <c r="C38">
        <f>COUNTIFS(Raw_Data!F2:F10001,"&lt;1300",Raw_Data!I2:I10001,1)</f>
        <v>49</v>
      </c>
      <c r="D38" s="3">
        <f>C38/B38</f>
        <v>0.23222748815165878</v>
      </c>
    </row>
    <row r="39" spans="1:4" x14ac:dyDescent="0.3">
      <c r="A39" t="s">
        <v>10069</v>
      </c>
      <c r="B39">
        <f>COUNTIFS(Raw_Data!F2:F10001,"&gt;=1300",Raw_Data!F2:F10001,"&lt;1500")</f>
        <v>4688</v>
      </c>
      <c r="C39">
        <f>COUNTIFS(Raw_Data!F2:F10001,"&gt;=1300",Raw_Data!F2:F10001,"&lt;1500",Raw_Data!I2:I10001,1)</f>
        <v>229</v>
      </c>
      <c r="D39" s="3">
        <f t="shared" ref="D39:D43" si="2">C39/B39</f>
        <v>4.8848122866894196E-2</v>
      </c>
    </row>
    <row r="40" spans="1:4" x14ac:dyDescent="0.3">
      <c r="A40" t="s">
        <v>10070</v>
      </c>
      <c r="B40">
        <f>COUNTIFS(Raw_Data!F2:F10001,"&gt;=1500",Raw_Data!F2:F10001,"&lt;1700")</f>
        <v>3754</v>
      </c>
      <c r="C40">
        <f>COUNTIFS(Raw_Data!F2:F10001,"&gt;=1500",Raw_Data!F2:F10001,"&lt;1700",Raw_Data!I2:I10001,1)</f>
        <v>21</v>
      </c>
      <c r="D40" s="3">
        <f t="shared" si="2"/>
        <v>5.5940330314331382E-3</v>
      </c>
    </row>
    <row r="41" spans="1:4" x14ac:dyDescent="0.3">
      <c r="A41" t="s">
        <v>10071</v>
      </c>
      <c r="B41">
        <f>COUNTIFS(Raw_Data!F2:F10001,"&gt;=1700",Raw_Data!F2:F10001,"&lt;1900")</f>
        <v>936</v>
      </c>
      <c r="C41">
        <f>COUNTIFS(Raw_Data!F2:F10001,"&gt;=1700",Raw_Data!F2:F10001,"&lt;1900",Raw_Data!I2:I10001,1)</f>
        <v>5</v>
      </c>
      <c r="D41" s="3">
        <f t="shared" si="2"/>
        <v>5.341880341880342E-3</v>
      </c>
    </row>
    <row r="42" spans="1:4" x14ac:dyDescent="0.3">
      <c r="A42" t="s">
        <v>10072</v>
      </c>
      <c r="B42">
        <f>COUNTIFS(Raw_Data!F2:F10001,"&gt;=1900",Raw_Data!F2:F10001,"&lt;2200")</f>
        <v>315</v>
      </c>
      <c r="C42">
        <f>COUNTIFS(Raw_Data!F2:F10001,"&gt;=1900",Raw_Data!F2:F10001,"&lt;2200",Raw_Data!I2:I10001,1)</f>
        <v>4</v>
      </c>
      <c r="D42" s="3">
        <f t="shared" si="2"/>
        <v>1.2698412698412698E-2</v>
      </c>
    </row>
    <row r="43" spans="1:4" x14ac:dyDescent="0.3">
      <c r="A43" s="4" t="s">
        <v>10073</v>
      </c>
      <c r="B43">
        <f>COUNTIF(Raw_Data!F2:F10001,"&gt;=2200")</f>
        <v>96</v>
      </c>
      <c r="C43">
        <f>COUNTIFS(Raw_Data!F2:F10001,"&gt;=2200",Raw_Data!I2:I10001,1)</f>
        <v>31</v>
      </c>
      <c r="D43" s="3">
        <f t="shared" si="2"/>
        <v>0.32291666666666669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Initial_Analysis</vt:lpstr>
      <vt:lpstr>Failure_Analysis</vt:lpstr>
      <vt:lpstr>Operating_Analysis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Lila</cp:lastModifiedBy>
  <dcterms:created xsi:type="dcterms:W3CDTF">2026-10-04T15:09:30Z</dcterms:created>
  <dcterms:modified xsi:type="dcterms:W3CDTF">2026-10-04T18:00:38Z</dcterms:modified>
</cp:coreProperties>
</file>